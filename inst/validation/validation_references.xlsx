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14.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mmary_total_GHGE" sheetId="2" state="visible" r:id="rId4"/>
    <sheet name="summary_share_components" sheetId="3" state="visible" r:id="rId5"/>
    <sheet name="summary_agri_practices" sheetId="4" state="visible" r:id="rId6"/>
    <sheet name="Agribalyse_2024" sheetId="5" state="visible" r:id="rId7"/>
    <sheet name="Agribalyse_2025" sheetId="6" state="visible" r:id="rId8"/>
    <sheet name="Bamber_2025" sheetId="7" state="visible" r:id="rId9"/>
    <sheet name="Bellassen_2021" sheetId="8" state="visible" r:id="rId10"/>
    <sheet name="Boschiero_2023" sheetId="9" state="visible" r:id="rId11"/>
    <sheet name="CAP2ER_2025" sheetId="10" state="visible" r:id="rId12"/>
    <sheet name="Chiriaco_2022" sheetId="11" state="visible" r:id="rId13"/>
    <sheet name="Clune_2017" sheetId="12" state="visible" r:id="rId14"/>
    <sheet name="Lesschen_2011" sheetId="13" state="visible" r:id="rId15"/>
    <sheet name="Meier_2015" sheetId="14" state="visible" r:id="rId16"/>
    <sheet name="Nijdam_2012" sheetId="15" state="visible" r:id="rId17"/>
    <sheet name="Poore_2018_GHGE" sheetId="16" state="visible" r:id="rId18"/>
    <sheet name="Poore_2018_compo_anim_prod" sheetId="17" state="visible" r:id="rId19"/>
    <sheet name="Poore_2018_compo_cereals" sheetId="18" state="visible" r:id="rId20"/>
  </sheets>
  <externalReferences>
    <externalReference r:id="rId21"/>
  </externalReferences>
  <definedNames>
    <definedName function="false" hidden="true" localSheetId="8" name="_xlnm._FilterDatabase" vbProcedure="false">Boschiero_2023!$A$1:$L$16</definedName>
    <definedName function="false" hidden="true" localSheetId="11" name="_xlnm._FilterDatabase" vbProcedure="false">Clune_2017!$A$1:$J$315</definedName>
    <definedName function="false" hidden="true" localSheetId="13" name="_xlnm._FilterDatabase" vbProcedure="false">Meier_2015!$A$1:$Y$352</definedName>
    <definedName function="false" hidden="true" localSheetId="2" name="_xlnm._FilterDatabase" vbProcedure="false">summary_share_components!$A$1:$G$112</definedName>
    <definedName function="false" hidden="true" localSheetId="1" name="_xlnm._FilterDatabase" vbProcedure="false">summary_total_GHGE!$A$1:$E$269</definedName>
    <definedName function="false" hidden="false" name="bbib11" vbProcedure="false">Chiriaco_2022!$G$22</definedName>
    <definedName function="false" hidden="false" name="bbib57" vbProcedure="false">Chiriaco_2022!$G$21</definedName>
    <definedName function="false" hidden="false" name="Italy" vbProcedure="false">[1]DATABASE!$R$3:$R$8</definedName>
    <definedName function="false" hidden="false" name="name"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<sst xmlns="http://schemas.openxmlformats.org/spreadsheetml/2006/main" count="12389" uniqueCount="1702">
  <si>
    <t xml:space="preserve">This file is a compilation of tables and appendix from literature regarding wheat and milk production</t>
  </si>
  <si>
    <t xml:space="preserve">sheet</t>
  </si>
  <si>
    <t xml:space="preserve">ref</t>
  </si>
  <si>
    <t xml:space="preserve">Paper</t>
  </si>
  <si>
    <t xml:space="preserve">Source</t>
  </si>
  <si>
    <t xml:space="preserve">Caption</t>
  </si>
  <si>
    <t xml:space="preserve">summary_total_GHGE</t>
  </si>
  <si>
    <t xml:space="preserve">authors’ summary</t>
  </si>
  <si>
    <t xml:space="preserve">Values retrieved from the compilation of tables and appendix from literature regarding the total GHGE from wheat and milk production</t>
  </si>
  <si>
    <t xml:space="preserve">summary_share_components</t>
  </si>
  <si>
    <t xml:space="preserve">Values retrieved from the compilation of tables and appendix from literature regarding the share of each component in GHGE from wheat and milk production</t>
  </si>
  <si>
    <t xml:space="preserve">summary_agri_practices</t>
  </si>
  <si>
    <t xml:space="preserve">CAP2ER 2025</t>
  </si>
  <si>
    <t xml:space="preserve">Résultats CAP’2ER® : Système France Années 2013 à 2024, 2025. . idele. </t>
  </si>
  <si>
    <t xml:space="preserve">Flachowsky 2002</t>
  </si>
  <si>
    <t xml:space="preserve">Flachowsky, G., 2002. Efficiency of Energy and Nutrient Use in the Production of Edible Protein of Animal Origin. Journal of Applied Animal Research 22, 1–24. https://doi.org/10.1080/09712119.2002.9706374 </t>
  </si>
  <si>
    <t xml:space="preserve">Bellassen et al., 2021</t>
  </si>
  <si>
    <t xml:space="preserve">Bellassen, V., Drut, M., Antonioli, F., Brečić, R., Donati, M., Ferrer-Pérez, H., Gauvrit, L., Hoang, V., Knutsen Steinnes, K., Lilavanichakul, A., Majewski, E., Malak-Rawlikowska, A., Mattas, K., Nguyen, A., Papadopoulos, I., Peerlings, J., Ristic, B., Tomić Maksan, M., Török, Á., Vittersø, G., Diallo, A., 2021. The Carbon and Land Footprint of Certified Food Products. Journal of Agricultural &amp; Food Industrial Organization 19, 113–126. https://doi.org/10.1515/jafio-2019-0037 </t>
  </si>
  <si>
    <t xml:space="preserve">UNFCCC 2020</t>
  </si>
  <si>
    <t xml:space="preserve">France GHG data from UNFCCC, 2020</t>
  </si>
  <si>
    <t xml:space="preserve">Lesschen et al., 2011</t>
  </si>
  <si>
    <t xml:space="preserve">Lesschen, J.P., Van Den Berg, M., Westhoek, H.J., Witzke, H.P., Oenema, O., 2011. Greenhouse gas emission profiles of European livestock sectors. Animal Feed Science and Technology 166–167, 16–28. https://doi.org/10.1016/j.anifeedsci.2011.04.058 </t>
  </si>
  <si>
    <t xml:space="preserve">Fig. 4</t>
  </si>
  <si>
    <t xml:space="preserve">Total feed area for each of the livestock sectors in the EU-27. </t>
  </si>
  <si>
    <t xml:space="preserve">Agribalyse_2024</t>
  </si>
  <si>
    <t xml:space="preserve">Boton et al., 2024</t>
  </si>
  <si>
    <t xml:space="preserve">Boton, X., Nitschelm, L., van der Werf, H.M.G., 2024. Agribalyse®. ACV Carbone – Modélisation des émissions nettes de gaz à effet de serre liées aux usages et changements d’usage des terres (Rapport Final). ADEME and INRAE, Angers, France. </t>
  </si>
  <si>
    <t xml:space="preserve">Figure 8</t>
  </si>
  <si>
    <t xml:space="preserve">Figure 8a (Top): Net annual emissions per hectare ( kg CO2​-eq ha−1 an−1 ). This breaks down fluxes by source (soil vs. biomass) and direction (emission vs. sequestration). Figure 8b (Bottom): Emissions per kilogram of product ( kg CO2​-eq kg−1 an−1 ). This breaks down the footprint into "Sans LULUC" (production emissions like fuel/fertilizer) and "LULUC uniquement" (Land Use, Land-Use Change, and Forestry).</t>
  </si>
  <si>
    <t xml:space="preserve">Agribalyse_2025</t>
  </si>
  <si>
    <t xml:space="preserve">Cornelus et al., 2025</t>
  </si>
  <si>
    <t xml:space="preserve">Cornelus, M., Auberger, J., Rimbaud, A., Ceccaldi, M., 2025. AGRIBALYSE® version 3.2. https://doi.org/10.57745/XTENSJ </t>
  </si>
  <si>
    <t xml:space="preserve">AGRIBALYSE3.2_partie agriculture_conv_PublieNOV25.xlsx </t>
  </si>
  <si>
    <t xml:space="preserve">  AGRIBALYSE3.2_partie agriculture_conv_PublieNOV25.xlsx MS Excel Spreadsheet - 2.0 Mo Publié 18 nov. 2025</t>
  </si>
  <si>
    <t xml:space="preserve">Bamber_2025</t>
  </si>
  <si>
    <t xml:space="preserve">Bamber et al., 2025</t>
  </si>
  <si>
    <t xml:space="preserve">Bamber, N., Turner, I., Pelletier, N., 2025. Rapeseed, wheat and peas grown in Canada have considerably lower carbon footprints than those from major international competitors. Nat Food 6, 757–761. https://doi.org/10.1038/s43016-025-01212-0 </t>
  </si>
  <si>
    <t xml:space="preserve">Figure 1, Sup Tab 2, Sup Tab 5</t>
  </si>
  <si>
    <t xml:space="preserve">Bellassen_2021</t>
  </si>
  <si>
    <t xml:space="preserve">Supplementary Information</t>
  </si>
  <si>
    <t xml:space="preserve">Boschiero_2023</t>
  </si>
  <si>
    <t xml:space="preserve">Boschiero et al., 2023</t>
  </si>
  <si>
    <t xml:space="preserve">Boschiero, M., De Laurentiis, V., Caldeira, C., Sala, S., 2023. Comparison of organic and conventional cropping systems: A systematic review of life cycle assessment studies. Environmental Impact Assessment Review 102, 107187. https://doi.org/10.1016/j.eiar.2023.107187 </t>
  </si>
  <si>
    <t xml:space="preserve">Appendix A. Supplementary data</t>
  </si>
  <si>
    <t xml:space="preserve">Supplementary Information - the complete data set used to conduct the meta-analysis, with raw data expressed per product-based functional unit (FU_kg)</t>
  </si>
  <si>
    <t xml:space="preserve">CAP2ER_2025</t>
  </si>
  <si>
    <t xml:space="preserve">Chiriaco_2022</t>
  </si>
  <si>
    <t xml:space="preserve">Chiriaco et al., 2022</t>
  </si>
  <si>
    <t xml:space="preserve">Chiriacò, M.V., Castaldi, S., Valentini, R., 2022. Determining organic versus conventional food emissions to foster the transition to sustainable food systems and diets: Insights from a systematic review. Journal of Cleaner Production 380, 134937. https://doi.org/10.1016/j.jclepro.2022.134937 </t>
  </si>
  <si>
    <t xml:space="preserve">Table 1</t>
  </si>
  <si>
    <t xml:space="preserve">Data from the analysed studies providing a comparison of CF per ‘land unit’ and ‘product unit’ for the same organic and conventional food types. Negative values of relative percentage difference represent an advantage of organic versus conventional food production in term of sustainability, positive values (in bold) represent an advantage of conventional food.</t>
  </si>
  <si>
    <t xml:space="preserve">Clune_2017</t>
  </si>
  <si>
    <t xml:space="preserve">Clune et al., 2017</t>
  </si>
  <si>
    <t xml:space="preserve">Clune, S., Crossin, E., Verghese, K., 2017. Systematic review of greenhouse gas emissions for different fresh food categories. Journal of Cleaner Production 140, 766–783. https://doi.org/10.1016/j.jclepro.2016.04.082 </t>
  </si>
  <si>
    <t xml:space="preserve">Appendix A. Supplementary material</t>
  </si>
  <si>
    <t xml:space="preserve">Lesschen_2011</t>
  </si>
  <si>
    <t xml:space="preserve">Figures 4, 7, 8</t>
  </si>
  <si>
    <t xml:space="preserve">Total feed areas and GHGE</t>
  </si>
  <si>
    <t xml:space="preserve">Meier_2015</t>
  </si>
  <si>
    <t xml:space="preserve">Meier et al., 2015</t>
  </si>
  <si>
    <t xml:space="preserve">Meier, M.S., Stoessel, F., Jungbluth, N., Juraske, R., Schader, C., Stolze, M., 2015. Environmental impacts of organic and conventional agricultural products - Are the differences captured by life cycle assessment? JOURNAL OF ENVIRONMENTAL MANAGEMENT. https://doi.org/10.1016/j.jenvman.2014.10.006 </t>
  </si>
  <si>
    <t xml:space="preserve">Nijdam_2012</t>
  </si>
  <si>
    <t xml:space="preserve">Nijdam et al., 2012</t>
  </si>
  <si>
    <t xml:space="preserve">Nijdam, D., Rood, T., Westhoek, H., 2012. The price of protein: Review of land use and carbon footprints from life cycle assessments of animal food products and their substitutes. Food Policy 37, 760–770. https://doi.org/10.1016/j.foodpol.2012.08.002 </t>
  </si>
  <si>
    <t xml:space="preserve">Table 3</t>
  </si>
  <si>
    <t xml:space="preserve">Carbon footprint and land use of protein rich products per kilogram of product, from several LCA studies (cradle to retail, n = number of analyzed products, NB for land use the number may be lower).</t>
  </si>
  <si>
    <t xml:space="preserve">Poore_2018_GHGE</t>
  </si>
  <si>
    <t xml:space="preserve">Poore and Nemecek, 2018</t>
  </si>
  <si>
    <t xml:space="preserve">Poore, J., Nemecek, T., 2018. Reducing food’s environmental impacts through producers and consumers. Science 360, 987–992. https://doi.org/10.1126/science.aaq0216 </t>
  </si>
  <si>
    <t xml:space="preserve">Sheet “Results – Global Totals” from File “aaq0216_datas2.xls”</t>
  </si>
  <si>
    <t xml:space="preserve">Poore_2018_compo_anim_prod</t>
  </si>
  <si>
    <t xml:space="preserve">Fig. S10. </t>
  </si>
  <si>
    <t xml:space="preserve">Contribution of each impact source to variance among producers for the  same product. Contributions are calculated using variance-based sensitivity analysis  (supplementary text). (A) Animal products. ‘Water Use – Farm’ includes drinking water,  service water, and pasture irrigation. (B) Crops.</t>
  </si>
  <si>
    <t xml:space="preserve">Poore_2018_compo_cereals</t>
  </si>
  <si>
    <t xml:space="preserve">Boschiero_2023__2014, NV</t>
  </si>
  <si>
    <t xml:space="preserve">Carranza-Gallego  et al., 2018 (New Variety, 2014 data)</t>
  </si>
  <si>
    <t xml:space="preserve">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t>
  </si>
  <si>
    <t xml:space="preserve">Study ID 35 in Boschiero et al. (2023) metanalysis</t>
  </si>
  <si>
    <t xml:space="preserve">Boschiero_2023__2014, OV</t>
  </si>
  <si>
    <t xml:space="preserve">Carranza-Gallego  et al., 2018 (Old Variety, 2014 data)</t>
  </si>
  <si>
    <t xml:space="preserve">Boschiero_2023__2015, NV</t>
  </si>
  <si>
    <t xml:space="preserve">Carranza-Gallego  et al., 2018 (New Variety, 2015 data)</t>
  </si>
  <si>
    <t xml:space="preserve">Boschiero_2023__2016, NV</t>
  </si>
  <si>
    <t xml:space="preserve">Carranza-Gallego  et al., 2018 (New Variety, 2016 data)</t>
  </si>
  <si>
    <t xml:space="preserve">Boschiero_2023__2016, OV</t>
  </si>
  <si>
    <t xml:space="preserve">Carranza-Gallego  et al., 2018 (Old Variety, 2016 data)</t>
  </si>
  <si>
    <t xml:space="preserve">product</t>
  </si>
  <si>
    <t xml:space="preserve">GHGE_kgCO2e_kg</t>
  </si>
  <si>
    <t xml:space="preserve">GHGE_kgCO2e_ha</t>
  </si>
  <si>
    <t xml:space="preserve">area</t>
  </si>
  <si>
    <t xml:space="preserve">wheat</t>
  </si>
  <si>
    <t xml:space="preserve">France</t>
  </si>
  <si>
    <t xml:space="preserve">milk</t>
  </si>
  <si>
    <t xml:space="preserve">Bamber_2025_fig1</t>
  </si>
  <si>
    <t xml:space="preserve">Bamber_2025_sup_tab5</t>
  </si>
  <si>
    <t xml:space="preserve">Germany</t>
  </si>
  <si>
    <t xml:space="preserve">Spain</t>
  </si>
  <si>
    <t xml:space="preserve">Austria (Alpine)</t>
  </si>
  <si>
    <t xml:space="preserve">Austria (Lowlands)</t>
  </si>
  <si>
    <t xml:space="preserve">Austria (Uplands, pastoral)</t>
  </si>
  <si>
    <t xml:space="preserve">Austria (Uplands)</t>
  </si>
  <si>
    <t xml:space="preserve">Denmark</t>
  </si>
  <si>
    <t xml:space="preserve">Italy</t>
  </si>
  <si>
    <t xml:space="preserve">Netherlands</t>
  </si>
  <si>
    <t xml:space="preserve">Austria</t>
  </si>
  <si>
    <t xml:space="preserve">Bangladesh</t>
  </si>
  <si>
    <t xml:space="preserve">Belarus</t>
  </si>
  <si>
    <t xml:space="preserve">Belgium</t>
  </si>
  <si>
    <t xml:space="preserve">Bulgaria</t>
  </si>
  <si>
    <t xml:space="preserve">bulgaria</t>
  </si>
  <si>
    <t xml:space="preserve">Czech Republic</t>
  </si>
  <si>
    <t xml:space="preserve">Czech republic</t>
  </si>
  <si>
    <t xml:space="preserve">Estonia</t>
  </si>
  <si>
    <t xml:space="preserve">Europe Eastern</t>
  </si>
  <si>
    <t xml:space="preserve">Europe Western</t>
  </si>
  <si>
    <t xml:space="preserve">Finland</t>
  </si>
  <si>
    <t xml:space="preserve">finlsnd</t>
  </si>
  <si>
    <t xml:space="preserve">greece</t>
  </si>
  <si>
    <t xml:space="preserve">hungary</t>
  </si>
  <si>
    <t xml:space="preserve">Ireland</t>
  </si>
  <si>
    <t xml:space="preserve">lativia</t>
  </si>
  <si>
    <t xml:space="preserve">lithuania</t>
  </si>
  <si>
    <t xml:space="preserve">Luxembourg</t>
  </si>
  <si>
    <t xml:space="preserve">netherland</t>
  </si>
  <si>
    <t xml:space="preserve">Norway</t>
  </si>
  <si>
    <t xml:space="preserve">Poland</t>
  </si>
  <si>
    <t xml:space="preserve">portugal</t>
  </si>
  <si>
    <t xml:space="preserve">Portugal</t>
  </si>
  <si>
    <t xml:space="preserve">romania</t>
  </si>
  <si>
    <t xml:space="preserve">Slovakia</t>
  </si>
  <si>
    <t xml:space="preserve">slovenia</t>
  </si>
  <si>
    <t xml:space="preserve">Sweden</t>
  </si>
  <si>
    <t xml:space="preserve">Switzerland</t>
  </si>
  <si>
    <t xml:space="preserve">United Kingdom</t>
  </si>
  <si>
    <t xml:space="preserve">EU</t>
  </si>
  <si>
    <t xml:space="preserve">Romania</t>
  </si>
  <si>
    <t xml:space="preserve">Russia</t>
  </si>
  <si>
    <t xml:space="preserve">Europe </t>
  </si>
  <si>
    <t xml:space="preserve">cattle_meat</t>
  </si>
  <si>
    <t xml:space="preserve">swine_meat</t>
  </si>
  <si>
    <t xml:space="preserve">poultry_meat</t>
  </si>
  <si>
    <t xml:space="preserve">poultry_eggs</t>
  </si>
  <si>
    <t xml:space="preserve">England and Wales</t>
  </si>
  <si>
    <t xml:space="preserve">UK</t>
  </si>
  <si>
    <t xml:space="preserve">CH</t>
  </si>
  <si>
    <t xml:space="preserve">England &amp; Wales</t>
  </si>
  <si>
    <t xml:space="preserve">component</t>
  </si>
  <si>
    <t xml:space="preserve">Harmonized_Category</t>
  </si>
  <si>
    <t xml:space="preserve">Changement climatique - émissions biogéniques</t>
  </si>
  <si>
    <t xml:space="preserve">Changement climatique - émissions liées au changement d'affectation des sols</t>
  </si>
  <si>
    <t xml:space="preserve">Land Use Change / Soil Carbon </t>
  </si>
  <si>
    <t xml:space="preserve">Changement climatique - émissions fossiles</t>
  </si>
  <si>
    <t xml:space="preserve">Field activities</t>
  </si>
  <si>
    <t xml:space="preserve">Australia</t>
  </si>
  <si>
    <t xml:space="preserve">Energy Use (Diesel/Elec)</t>
  </si>
  <si>
    <t xml:space="preserve">Fertility</t>
  </si>
  <si>
    <t xml:space="preserve">Field-level N2O</t>
  </si>
  <si>
    <t xml:space="preserve">ΔSOC</t>
  </si>
  <si>
    <t xml:space="preserve">Other</t>
  </si>
  <si>
    <t xml:space="preserve">Fertilizer Production </t>
  </si>
  <si>
    <t xml:space="preserve">Fertilizer inputs</t>
  </si>
  <si>
    <t xml:space="preserve">Manure inputs</t>
  </si>
  <si>
    <t xml:space="preserve">Field-level CO2</t>
  </si>
  <si>
    <t xml:space="preserve">Soil carbon change</t>
  </si>
  <si>
    <t xml:space="preserve">Field N2O Emissions </t>
  </si>
  <si>
    <t xml:space="preserve">Irrigation</t>
  </si>
  <si>
    <t xml:space="preserve">Plant protection</t>
  </si>
  <si>
    <t xml:space="preserve">Post-harvest</t>
  </si>
  <si>
    <t xml:space="preserve">Seed</t>
  </si>
  <si>
    <t xml:space="preserve">Transportation</t>
  </si>
  <si>
    <t xml:space="preserve">Canada</t>
  </si>
  <si>
    <t xml:space="preserve">Other Inputs &amp; Processes </t>
  </si>
  <si>
    <t xml:space="preserve">United States</t>
  </si>
  <si>
    <t xml:space="preserve">Feed_diesel</t>
  </si>
  <si>
    <t xml:space="preserve">Energy Use (Diesel/Elec) </t>
  </si>
  <si>
    <t xml:space="preserve">Farm_energy</t>
  </si>
  <si>
    <t xml:space="preserve">Enteric fermentation</t>
  </si>
  <si>
    <t xml:space="preserve">Enteric Fermentation </t>
  </si>
  <si>
    <t xml:space="preserve">Feed_mineral_N_production</t>
  </si>
  <si>
    <t xml:space="preserve">Feed_fertilizer_induced</t>
  </si>
  <si>
    <t xml:space="preserve">Manure management</t>
  </si>
  <si>
    <t xml:space="preserve">Manure Management </t>
  </si>
  <si>
    <t xml:space="preserve">Feed_background</t>
  </si>
  <si>
    <t xml:space="preserve">  dont fermentation entérique</t>
  </si>
  <si>
    <t xml:space="preserve">  dont gestion des effluents</t>
  </si>
  <si>
    <t xml:space="preserve">  dont fertilisation azotée</t>
  </si>
  <si>
    <t xml:space="preserve">  dont carburants et électricité</t>
  </si>
  <si>
    <t xml:space="preserve">  dont aliments</t>
  </si>
  <si>
    <t xml:space="preserve">  dont engrais</t>
  </si>
  <si>
    <t xml:space="preserve">  dont achat d'animaux</t>
  </si>
  <si>
    <t xml:space="preserve">Europe</t>
  </si>
  <si>
    <t xml:space="preserve">Lesschen_2011_compo</t>
  </si>
  <si>
    <t xml:space="preserve">N2O soil emissions</t>
  </si>
  <si>
    <t xml:space="preserve">Organic soils and liming</t>
  </si>
  <si>
    <t xml:space="preserve">Fertilizer production</t>
  </si>
  <si>
    <t xml:space="preserve">Fuel and electricity use</t>
  </si>
  <si>
    <t xml:space="preserve">beef</t>
  </si>
  <si>
    <t xml:space="preserve">indicator</t>
  </si>
  <si>
    <t xml:space="preserve">unit</t>
  </si>
  <si>
    <t xml:space="preserve">lit_midpoint</t>
  </si>
  <si>
    <t xml:space="preserve">lit_min</t>
  </si>
  <si>
    <t xml:space="preserve">lit_max</t>
  </si>
  <si>
    <t xml:space="preserve">lit_source</t>
  </si>
  <si>
    <t xml:space="preserve">DMI</t>
  </si>
  <si>
    <t xml:space="preserve">kg / head / day</t>
  </si>
  <si>
    <t xml:space="preserve">dairy_cows</t>
  </si>
  <si>
    <t xml:space="preserve">Flachowsky_2002</t>
  </si>
  <si>
    <t xml:space="preserve">share_concent</t>
  </si>
  <si>
    <t xml:space="preserve">percent</t>
  </si>
  <si>
    <t xml:space="preserve">GE</t>
  </si>
  <si>
    <t xml:space="preserve">MJ / head / day</t>
  </si>
  <si>
    <t xml:space="preserve">Nex</t>
  </si>
  <si>
    <t xml:space="preserve">kg N / head / year</t>
  </si>
  <si>
    <t xml:space="preserve">UNFCCC_2020</t>
  </si>
  <si>
    <t xml:space="preserve">first_calving_age</t>
  </si>
  <si>
    <t xml:space="preserve">month</t>
  </si>
  <si>
    <t xml:space="preserve">renewal_rate</t>
  </si>
  <si>
    <t xml:space="preserve">feed_Grass</t>
  </si>
  <si>
    <t xml:space="preserve">feed_Fodder maize</t>
  </si>
  <si>
    <t xml:space="preserve">feed_Other fodder</t>
  </si>
  <si>
    <t xml:space="preserve">feed_Feed cereals</t>
  </si>
  <si>
    <t xml:space="preserve">feed_Protein rich feed</t>
  </si>
  <si>
    <t xml:space="preserve">feed_Energy rich feed</t>
  </si>
  <si>
    <t xml:space="preserve">feed_Other feed</t>
  </si>
  <si>
    <t xml:space="preserve">feed_Fodder root crops</t>
  </si>
  <si>
    <t xml:space="preserve">Crop</t>
  </si>
  <si>
    <t xml:space="preserve">FigA_N2O_from_soil</t>
  </si>
  <si>
    <t xml:space="preserve">FigA_CO2_from_soil</t>
  </si>
  <si>
    <t xml:space="preserve">FigA_CO2_from_BMOM</t>
  </si>
  <si>
    <t xml:space="preserve">FigA_CO2_to_BMOM</t>
  </si>
  <si>
    <t xml:space="preserve">FigA_CO2_to_soil</t>
  </si>
  <si>
    <t xml:space="preserve">FigA_Total_from</t>
  </si>
  <si>
    <t xml:space="preserve">FigA_Net_Total</t>
  </si>
  <si>
    <t xml:space="preserve">FigB_Sans_LULUC</t>
  </si>
  <si>
    <t xml:space="preserve">FigB_LULUC_Only</t>
  </si>
  <si>
    <t xml:space="preserve">FigB_Net_Total</t>
  </si>
  <si>
    <t xml:space="preserve">Melon</t>
  </si>
  <si>
    <t xml:space="preserve">Laitue</t>
  </si>
  <si>
    <t xml:space="preserve">Chou-fleur</t>
  </si>
  <si>
    <t xml:space="preserve">Raisin (Beaujolais)</t>
  </si>
  <si>
    <t xml:space="preserve">Noix</t>
  </si>
  <si>
    <t xml:space="preserve">Triticale</t>
  </si>
  <si>
    <t xml:space="preserve">Pomme a cidre</t>
  </si>
  <si>
    <t xml:space="preserve">Mais ensilage</t>
  </si>
  <si>
    <t xml:space="preserve">Chicoree</t>
  </si>
  <si>
    <t xml:space="preserve">Oignon</t>
  </si>
  <si>
    <t xml:space="preserve">Pomme de table</t>
  </si>
  <si>
    <t xml:space="preserve">Herbe enrubannee, prairie temporaire, nord-ouest</t>
  </si>
  <si>
    <t xml:space="preserve">Peche</t>
  </si>
  <si>
    <t xml:space="preserve">Herbe enrubannee, prairie temporaire, Auvergne</t>
  </si>
  <si>
    <t xml:space="preserve">Ble dur d hiver</t>
  </si>
  <si>
    <t xml:space="preserve">Orge d hiver</t>
  </si>
  <si>
    <t xml:space="preserve">Raisin (Languedoc-Roussillon)</t>
  </si>
  <si>
    <t xml:space="preserve">Mais grain</t>
  </si>
  <si>
    <t xml:space="preserve">Soja</t>
  </si>
  <si>
    <t xml:space="preserve">Ble tendre d hiver</t>
  </si>
  <si>
    <t xml:space="preserve">Orge de printemps</t>
  </si>
  <si>
    <t xml:space="preserve">Tournesol</t>
  </si>
  <si>
    <t xml:space="preserve">Colza</t>
  </si>
  <si>
    <t xml:space="preserve">Pomme de terre</t>
  </si>
  <si>
    <t xml:space="preserve">Betterave</t>
  </si>
  <si>
    <t xml:space="preserve">Herbe enrubannee, prairie permanente, nord-ouest</t>
  </si>
  <si>
    <t xml:space="preserve">Score unique EF3.1 </t>
  </si>
  <si>
    <t xml:space="preserve">Changement climatique</t>
  </si>
  <si>
    <t xml:space="preserve">Appauvrissement de la couche d'ozone </t>
  </si>
  <si>
    <t xml:space="preserve">Rayonnements ionisants </t>
  </si>
  <si>
    <t xml:space="preserve">Formation photochimique d'ozone </t>
  </si>
  <si>
    <t xml:space="preserve">Particules </t>
  </si>
  <si>
    <t xml:space="preserve">Effets toxicologiques sur la santé humaine : substances non-cancérogènes*</t>
  </si>
  <si>
    <t xml:space="preserve">Effets toxicologiques sur la santé humaine : substances cancérogènes*</t>
  </si>
  <si>
    <t xml:space="preserve">Acidification terrestre et eaux douces</t>
  </si>
  <si>
    <t xml:space="preserve">Eutrophisation eaux douces </t>
  </si>
  <si>
    <t xml:space="preserve">Eutrophisation marine </t>
  </si>
  <si>
    <t xml:space="preserve">Eutrophisation terreste</t>
  </si>
  <si>
    <t xml:space="preserve">Écotoxicité pour écosystèmes aquatiques d'eau douce</t>
  </si>
  <si>
    <t xml:space="preserve">Utilisation du sol</t>
  </si>
  <si>
    <t xml:space="preserve">Épuisement des ressources eau</t>
  </si>
  <si>
    <t xml:space="preserve">Épuisement des ressources énergétiques</t>
  </si>
  <si>
    <t xml:space="preserve">Épuisement des ressources minéraux</t>
  </si>
  <si>
    <t xml:space="preserve">Nom du Produit en Français</t>
  </si>
  <si>
    <t xml:space="preserve">LCI Name</t>
  </si>
  <si>
    <t xml:space="preserve">Type de production</t>
  </si>
  <si>
    <t xml:space="preserve">Catégorie</t>
  </si>
  <si>
    <t xml:space="preserve">mPt/kg</t>
  </si>
  <si>
    <t xml:space="preserve">kg CO2 eq/kg</t>
  </si>
  <si>
    <t xml:space="preserve">kg CFC11 eq/kg</t>
  </si>
  <si>
    <t xml:space="preserve">kBq U-235 eq/kg</t>
  </si>
  <si>
    <t xml:space="preserve">kg NMVOC eq/kg</t>
  </si>
  <si>
    <t xml:space="preserve">disease inc./kg</t>
  </si>
  <si>
    <t xml:space="preserve">CTUh/kg</t>
  </si>
  <si>
    <t xml:space="preserve">mol H+ eq/kg</t>
  </si>
  <si>
    <t xml:space="preserve">kg P eq/kg</t>
  </si>
  <si>
    <t xml:space="preserve">kg N eq/kg</t>
  </si>
  <si>
    <t xml:space="preserve">mol N eq/kg</t>
  </si>
  <si>
    <t xml:space="preserve">CTUe/kg</t>
  </si>
  <si>
    <t xml:space="preserve">Pt/kg</t>
  </si>
  <si>
    <t xml:space="preserve">m3 depriv./kg</t>
  </si>
  <si>
    <t xml:space="preserve">MJ/kg</t>
  </si>
  <si>
    <t xml:space="preserve">kg Sb eq/kg</t>
  </si>
  <si>
    <t xml:space="preserve">Blé tendre, scénario de base, à la ferme, France</t>
  </si>
  <si>
    <t xml:space="preserve">Soft wheat grain, basis scenario without lever, at farm gate {FR} U</t>
  </si>
  <si>
    <t xml:space="preserve">Culture</t>
  </si>
  <si>
    <t xml:space="preserve">Agricultural\Plant production\Cereals\Transformation</t>
  </si>
  <si>
    <t xml:space="preserve">Lait de vache, moyenne nationale, à la ferme, France</t>
  </si>
  <si>
    <t xml:space="preserve">Cow milk, conventional, national average, at farm gate {FR} U</t>
  </si>
  <si>
    <t xml:space="preserve">Elevage</t>
  </si>
  <si>
    <t xml:space="preserve">Agricultural\Animal production\Dairy\Transformation</t>
  </si>
  <si>
    <t xml:space="preserve">Boeuf, moyenne nationale, à la ferme, France</t>
  </si>
  <si>
    <t xml:space="preserve">Beef cattle, conventional, national average, at farm gate {FR} U</t>
  </si>
  <si>
    <t xml:space="preserve">Agricultural\Animal production\Bovine\Transformation</t>
  </si>
  <si>
    <t xml:space="preserve">Oeuf, moyenne nationale, à la ferme, France</t>
  </si>
  <si>
    <t xml:space="preserve">Egg, conventionnal, national average, at farm gate {FR} U</t>
  </si>
  <si>
    <t xml:space="preserve">Agricultural\Animal production\Avian\Transformation</t>
  </si>
  <si>
    <t xml:space="preserve">Porc, conventionnel, moyenne nationale, à la ferme, France</t>
  </si>
  <si>
    <t xml:space="preserve">Pig, conventional, national average, at farm gate {FR} U</t>
  </si>
  <si>
    <t xml:space="preserve">Agricultural\Animal production\Porcine\Transformation</t>
  </si>
  <si>
    <t xml:space="preserve">Poulet, conventionnel, à la ferme, France</t>
  </si>
  <si>
    <t xml:space="preserve">Broiler, conventional, at farm gate {FR} U</t>
  </si>
  <si>
    <t xml:space="preserve">Truie de réforme, conventionnel, moyenne nationale, à la ferme, France</t>
  </si>
  <si>
    <t xml:space="preserve">Cull sow, conventional, national average, at farm gate {FR} U</t>
  </si>
  <si>
    <t xml:space="preserve">Figure 1: Carbon footprint of rapeseed, non-durum wheat and peas produced in Canada, Australia, France, Germany and the United States. Mean net values (including soil carbon) are indicated by the red dot with associated error bars representing standard deviation (selected for visibility of error bars), as well as by the numerical values for each crop–country combination. The contributions to the carbon footprint (kilograms CO2 equivalent per kilogram crop) are indicated for field-level N2O emissions, fertility management (including fertilizer and manure application and biological nitrogen fixation), fuel use for field activities, SOC change and other inputs and activities.</t>
  </si>
  <si>
    <t xml:space="preserve">Pays</t>
  </si>
  <si>
    <t xml:space="preserve">Mean</t>
  </si>
  <si>
    <t xml:space="preserve">United State</t>
  </si>
  <si>
    <t xml:space="preserve">Supplementary Table 2. Life cycle inventory data for wheat production</t>
  </si>
  <si>
    <t xml:space="preserve">Yield (kg/ha)</t>
  </si>
  <si>
    <t xml:space="preserve">Supplementary Table 5: Detailed contribution analysis describing contributions to total GHG emissions (kg CO2e) per kilogram of wheat grain 310 produced in the baseline model.</t>
  </si>
  <si>
    <t xml:space="preserve">Region</t>
  </si>
  <si>
    <t xml:space="preserve">Total (without SOC)</t>
  </si>
  <si>
    <t xml:space="preserve">Total (with SOC)</t>
  </si>
  <si>
    <t xml:space="preserve">CA</t>
  </si>
  <si>
    <t xml:space="preserve">AU</t>
  </si>
  <si>
    <t xml:space="preserve">FR</t>
  </si>
  <si>
    <t xml:space="preserve">DE</t>
  </si>
  <si>
    <t xml:space="preserve">US</t>
  </si>
  <si>
    <t xml:space="preserve">yields</t>
  </si>
  <si>
    <t xml:space="preserve">GHG footprint (kgCO2e t-1)</t>
  </si>
  <si>
    <t xml:space="preserve">GHG footprint (kgCO2e ha-1)</t>
  </si>
  <si>
    <t xml:space="preserve">Land footprint (ha t-1)</t>
  </si>
  <si>
    <t xml:space="preserve">Product</t>
  </si>
  <si>
    <t xml:space="preserve">Total</t>
  </si>
  <si>
    <t xml:space="preserve">Feed production</t>
  </si>
  <si>
    <t xml:space="preserve">Processing</t>
  </si>
  <si>
    <t xml:space="preserve">Waste water</t>
  </si>
  <si>
    <t xml:space="preserve">Transport</t>
  </si>
  <si>
    <t xml:space="preserve">FQS relative difference w/o transport</t>
  </si>
  <si>
    <t xml:space="preserve">Final_prod_ratio</t>
  </si>
  <si>
    <t xml:space="preserve">Sector</t>
  </si>
  <si>
    <t xml:space="preserve">Sector2</t>
  </si>
  <si>
    <t xml:space="preserve">Type of FQS</t>
  </si>
  <si>
    <t xml:space="preserve">Type of FQS2</t>
  </si>
  <si>
    <t xml:space="preserve">FQS</t>
  </si>
  <si>
    <t xml:space="preserve">FQS relative difference</t>
  </si>
  <si>
    <t xml:space="preserve">Comte cheese ref</t>
  </si>
  <si>
    <t xml:space="preserve">1 016</t>
  </si>
  <si>
    <t xml:space="preserve">5 657</t>
  </si>
  <si>
    <t xml:space="preserve">3 423</t>
  </si>
  <si>
    <t xml:space="preserve">1 421</t>
  </si>
  <si>
    <t xml:space="preserve">Dairy</t>
  </si>
  <si>
    <t xml:space="preserve">Animal</t>
  </si>
  <si>
    <t xml:space="preserve">PDO</t>
  </si>
  <si>
    <t xml:space="preserve">GI</t>
  </si>
  <si>
    <t xml:space="preserve">0,2</t>
  </si>
  <si>
    <t xml:space="preserve">Organic flour ref</t>
  </si>
  <si>
    <t xml:space="preserve">1 830</t>
  </si>
  <si>
    <t xml:space="preserve">Cereal/Bakery</t>
  </si>
  <si>
    <t xml:space="preserve">Vegetal</t>
  </si>
  <si>
    <t xml:space="preserve">Organic</t>
  </si>
  <si>
    <t xml:space="preserve">0,1</t>
  </si>
  <si>
    <t xml:space="preserve">Organic pork ref</t>
  </si>
  <si>
    <t xml:space="preserve">2 974</t>
  </si>
  <si>
    <t xml:space="preserve">1 998</t>
  </si>
  <si>
    <t xml:space="preserve">4 310</t>
  </si>
  <si>
    <t xml:space="preserve">1 233</t>
  </si>
  <si>
    <t xml:space="preserve">2 896</t>
  </si>
  <si>
    <t xml:space="preserve">Meat</t>
  </si>
  <si>
    <t xml:space="preserve">0,7</t>
  </si>
  <si>
    <t xml:space="preserve">NB: we do not use manure management and fertilizer induced estimates as « direct and indirect N2O emissions from field application of manure – usually allocated to crops growing in the field – are allocated to the animals generating the manure. » ([Bellassen et al., 2021, p. 115]</t>
  </si>
  <si>
    <t xml:space="preserve">ID</t>
  </si>
  <si>
    <t xml:space="preserve">LCIAmethod</t>
  </si>
  <si>
    <t xml:space="preserve">ProdCat</t>
  </si>
  <si>
    <t xml:space="preserve">Products</t>
  </si>
  <si>
    <t xml:space="preserve">macroImpact</t>
  </si>
  <si>
    <t xml:space="preserve">ImpactCat</t>
  </si>
  <si>
    <t xml:space="preserve">Impact_unit</t>
  </si>
  <si>
    <t xml:space="preserve">functional_unit</t>
  </si>
  <si>
    <t xml:space="preserve">otherManagVariables</t>
  </si>
  <si>
    <t xml:space="preserve">O_Impacts</t>
  </si>
  <si>
    <t xml:space="preserve">C_Impacts</t>
  </si>
  <si>
    <t xml:space="preserve">O_Cratio</t>
  </si>
  <si>
    <t xml:space="preserve">IPCC</t>
  </si>
  <si>
    <t xml:space="preserve">C</t>
  </si>
  <si>
    <t xml:space="preserve">CC</t>
  </si>
  <si>
    <t xml:space="preserve">GHG</t>
  </si>
  <si>
    <t xml:space="preserve">kgCO2eq</t>
  </si>
  <si>
    <t xml:space="preserve">FU_ha</t>
  </si>
  <si>
    <t xml:space="preserve">2014, NV</t>
  </si>
  <si>
    <t xml:space="preserve">2014, OV</t>
  </si>
  <si>
    <t xml:space="preserve">2015, NV</t>
  </si>
  <si>
    <t xml:space="preserve">2015, OV</t>
  </si>
  <si>
    <t xml:space="preserve">2016, NV</t>
  </si>
  <si>
    <t xml:space="preserve">2016, OV</t>
  </si>
  <si>
    <t xml:space="preserve">IPCC2006</t>
  </si>
  <si>
    <t xml:space="preserve">GWP</t>
  </si>
  <si>
    <t xml:space="preserve">FU_kg</t>
  </si>
  <si>
    <t xml:space="preserve">CML2000</t>
  </si>
  <si>
    <t xml:space="preserve">kgCO2e_per_ha</t>
  </si>
  <si>
    <t xml:space="preserve">kgCO2e_per_t</t>
  </si>
  <si>
    <t xml:space="preserve">Emissions brutes</t>
  </si>
  <si>
    <t xml:space="preserve">Stockage carbone</t>
  </si>
  <si>
    <t xml:space="preserve">Emissions nettes</t>
  </si>
  <si>
    <t xml:space="preserve">Indicateur</t>
  </si>
  <si>
    <t xml:space="preserve">Décile supérieur*</t>
  </si>
  <si>
    <t xml:space="preserve">Moyenne</t>
  </si>
  <si>
    <t xml:space="preserve">Décile inférieur*</t>
  </si>
  <si>
    <t xml:space="preserve">Nombre d'exploitations</t>
  </si>
  <si>
    <t xml:space="preserve">Part de maïs dans la SFP (%)</t>
  </si>
  <si>
    <t xml:space="preserve">38%</t>
  </si>
  <si>
    <t xml:space="preserve">31%</t>
  </si>
  <si>
    <t xml:space="preserve">20%</t>
  </si>
  <si>
    <t xml:space="preserve">Part d'exploitations en AB (%)</t>
  </si>
  <si>
    <t xml:space="preserve">10%</t>
  </si>
  <si>
    <t xml:space="preserve">15%</t>
  </si>
  <si>
    <t xml:space="preserve">Nombre de vaches laitières</t>
  </si>
  <si>
    <t xml:space="preserve">SFP lait (ha)</t>
  </si>
  <si>
    <t xml:space="preserve">--- Résultats environnementaux ---</t>
  </si>
  <si>
    <t xml:space="preserve">Émissions brutes (kg eq CO2/l lait)</t>
  </si>
  <si>
    <t xml:space="preserve">Émissions brutes (kg eq CO2/ha lait)</t>
  </si>
  <si>
    <t xml:space="preserve">Stockage carbone (kg eq CO2/l lait)</t>
  </si>
  <si>
    <t xml:space="preserve">--- Critères techniques ---</t>
  </si>
  <si>
    <t xml:space="preserve">--- Gestion du troupeau ---</t>
  </si>
  <si>
    <t xml:space="preserve">Lait/VL (l lait corrigé)</t>
  </si>
  <si>
    <t xml:space="preserve">Production laitière corrigée (l/ha SFP lait)</t>
  </si>
  <si>
    <t xml:space="preserve">UGB génisses/VL (%)</t>
  </si>
  <si>
    <t xml:space="preserve">41%</t>
  </si>
  <si>
    <t xml:space="preserve">45%</t>
  </si>
  <si>
    <t xml:space="preserve">46%</t>
  </si>
  <si>
    <t xml:space="preserve">Âge au premier vêlage (mois)</t>
  </si>
  <si>
    <t xml:space="preserve">Taux de renouvellement (%)</t>
  </si>
  <si>
    <t xml:space="preserve">36%</t>
  </si>
  <si>
    <t xml:space="preserve">32%</t>
  </si>
  <si>
    <t xml:space="preserve">--- Alimentation du troupeau ---</t>
  </si>
  <si>
    <t xml:space="preserve">Concentrés VL (g/l)</t>
  </si>
  <si>
    <t xml:space="preserve">Concentrés génisse (kg/UGB génisse)</t>
  </si>
  <si>
    <t xml:space="preserve">N excrété (kg N/UGB)</t>
  </si>
  <si>
    <t xml:space="preserve">Autonomie protéique (%)</t>
  </si>
  <si>
    <t xml:space="preserve">66%</t>
  </si>
  <si>
    <t xml:space="preserve">65%</t>
  </si>
  <si>
    <t xml:space="preserve">67%</t>
  </si>
  <si>
    <t xml:space="preserve">--- Gestion des surfaces ---</t>
  </si>
  <si>
    <t xml:space="preserve">Azote minéral (kgN/ha SAU lait)</t>
  </si>
  <si>
    <t xml:space="preserve">Pression azote organique (kgN/ha SAU lait)</t>
  </si>
  <si>
    <t xml:space="preserve">Rendement herbe (tMS/ha)</t>
  </si>
  <si>
    <t xml:space="preserve">--- Critères stockage ---</t>
  </si>
  <si>
    <t xml:space="preserve">Haie (ml/ha SAU lait)</t>
  </si>
  <si>
    <t xml:space="preserve">Prairie Permanente/SAU lait (%)</t>
  </si>
  <si>
    <t xml:space="preserve">22%</t>
  </si>
  <si>
    <t xml:space="preserve">52%</t>
  </si>
  <si>
    <t xml:space="preserve">--- Gestion des effluents ---</t>
  </si>
  <si>
    <t xml:space="preserve">Durée de pâturage (jours)</t>
  </si>
  <si>
    <t xml:space="preserve">--- Energie ---</t>
  </si>
  <si>
    <t xml:space="preserve">Carburant (L/ha SAU lait)</t>
  </si>
  <si>
    <t xml:space="preserve">Électricité (kWh/1 000 l)</t>
  </si>
  <si>
    <t xml:space="preserve">Category</t>
  </si>
  <si>
    <t xml:space="preserve">Type of food product</t>
  </si>
  <si>
    <t xml:space="preserve">Country</t>
  </si>
  <si>
    <t xml:space="preserve">Relative percentage difference of organic/ conventional</t>
  </si>
  <si>
    <t xml:space="preserve">Per area</t>
  </si>
  <si>
    <t xml:space="preserve">Per product</t>
  </si>
  <si>
    <t xml:space="preserve">(Mg CO2eq ha 1 year 1)</t>
  </si>
  <si>
    <t xml:space="preserve">(kg CO2eq kg 1)</t>
  </si>
  <si>
    <t xml:space="preserve">Conv.</t>
  </si>
  <si>
    <t xml:space="preserve">Org</t>
  </si>
  <si>
    <t xml:space="preserve">LAND</t>
  </si>
  <si>
    <t xml:space="preserve">PRODUCT</t>
  </si>
  <si>
    <t xml:space="preserve">Cereals</t>
  </si>
  <si>
    <t xml:space="preserve">Wheat</t>
  </si>
  <si>
    <t xml:space="preserve">USA</t>
  </si>
  <si>
    <t xml:space="preserve">Wheat/ wholemeal bread</t>
  </si>
  <si>
    <t xml:space="preserve">Livestock products</t>
  </si>
  <si>
    <t xml:space="preserve">Milk</t>
  </si>
  <si>
    <t xml:space="preserve">–70%</t>
  </si>
  <si>
    <t xml:space="preserve">–48%</t>
  </si>
  <si>
    <t xml:space="preserve">–20%</t>
  </si>
  <si>
    <t xml:space="preserve">–13%</t>
  </si>
  <si>
    <t xml:space="preserve">–12%</t>
  </si>
  <si>
    <t xml:space="preserve">–8%</t>
  </si>
  <si>
    <t xml:space="preserve">–17%</t>
  </si>
  <si>
    <t xml:space="preserve">–19%</t>
  </si>
  <si>
    <t xml:space="preserve">–9%</t>
  </si>
  <si>
    <t xml:space="preserve">–21%</t>
  </si>
  <si>
    <t xml:space="preserve">–38%</t>
  </si>
  <si>
    <t xml:space="preserve">7%%</t>
  </si>
  <si>
    <t xml:space="preserve">–23%</t>
  </si>
  <si>
    <t xml:space="preserve">–10%</t>
  </si>
  <si>
    <t xml:space="preserve">–33%</t>
  </si>
  <si>
    <t xml:space="preserve">–55%</t>
  </si>
  <si>
    <t xml:space="preserve">Beef</t>
  </si>
  <si>
    <t xml:space="preserve">5,35</t>
  </si>
  <si>
    <t xml:space="preserve">2,30</t>
  </si>
  <si>
    <t xml:space="preserve">13,00</t>
  </si>
  <si>
    <t xml:space="preserve">11,10</t>
  </si>
  <si>
    <t xml:space="preserve">Pig</t>
  </si>
  <si>
    <t xml:space="preserve">4,24</t>
  </si>
  <si>
    <t xml:space="preserve">4,02</t>
  </si>
  <si>
    <t xml:space="preserve">3,97</t>
  </si>
  <si>
    <t xml:space="preserve">Poultry</t>
  </si>
  <si>
    <t xml:space="preserve">1,98</t>
  </si>
  <si>
    <t xml:space="preserve">0,36</t>
  </si>
  <si>
    <t xml:space="preserve">1,11</t>
  </si>
  <si>
    <t xml:space="preserve">0,91</t>
  </si>
  <si>
    <t xml:space="preserve">Eggs</t>
  </si>
  <si>
    <t xml:space="preserve">7,30</t>
  </si>
  <si>
    <t xml:space="preserve">2,02</t>
  </si>
  <si>
    <t xml:space="preserve">2,92</t>
  </si>
  <si>
    <t xml:space="preserve">3,42</t>
  </si>
  <si>
    <t xml:space="preserve">Food counter </t>
  </si>
  <si>
    <t xml:space="preserve">Food type</t>
  </si>
  <si>
    <t xml:space="preserve">Sub-category</t>
  </si>
  <si>
    <t xml:space="preserve">Year of study</t>
  </si>
  <si>
    <t xml:space="preserve">Report type</t>
  </si>
  <si>
    <t xml:space="preserve">kg CO2-eq/kg produce, BFM or L after conversion</t>
  </si>
  <si>
    <t xml:space="preserve">Notes (conventional farming assumed unless stated)</t>
  </si>
  <si>
    <t xml:space="preserve">Reference</t>
  </si>
  <si>
    <t xml:space="preserve">reference number</t>
  </si>
  <si>
    <t xml:space="preserve">Dairy Counter</t>
  </si>
  <si>
    <t xml:space="preserve">Cows Milk</t>
  </si>
  <si>
    <t xml:space="preserve">Journal</t>
  </si>
  <si>
    <t xml:space="preserve">large farm</t>
  </si>
  <si>
    <t xml:space="preserve">Eide, M. (2002). "Life cycle assessment (LCA) of industrial milk production." The International Journal of Life Cycle Assessment 7(2): 115-126.</t>
  </si>
  <si>
    <t xml:space="preserve">medium  dairy</t>
  </si>
  <si>
    <t xml:space="preserve">small  dairy</t>
  </si>
  <si>
    <t xml:space="preserve">González-García, S., É. G. Castanheira, A. C. Dias and L. Arroja (2013). "Using Life Cycle Assessment methodology to assess UHT milk production in Portugal." Science of The Total Environment 442(0): 225-234.</t>
  </si>
  <si>
    <t xml:space="preserve">ECM - low input</t>
  </si>
  <si>
    <t xml:space="preserve">Guerci, M., M. T. Knudsen, L. Bava, M. Zucali, P. Schönbach and T. Kristensen (2013). "Parameters affecting the environmental impact of a range of dairy farming systems in Denmark, Germany and Italy." Journal of Cleaner Production 54(0): 133-141.</t>
  </si>
  <si>
    <t xml:space="preserve">González-García, S., É. Castanheira, A. Dias and L. Arroja (2013). "Environmental life cycle assessment of a dairy product: the yoghurt." The International Journal of Life Cycle Assessment 18(4): 796-811.</t>
  </si>
  <si>
    <t xml:space="preserve">O’Brien, D., J. L. Capper, P. C. Garnsworthy, C. Grainger and L. Shalloo (2014). "A case study of the carbon footprint of milk from high-performing confinement and grass-based dairy farms." Journal of Dairy Science 97(3): 1835-1851.</t>
  </si>
  <si>
    <t xml:space="preserve">Schils, R. L. M., A. Verhagen, H. F. M. Aarts and L. B. J. Šebek (2005). "A farm level approach to define successful mitigation strategies for GHG emissions from ruminant livestock systems." Nutrient Cycling in Agroecosystems 71(2): 163-175.</t>
  </si>
  <si>
    <t xml:space="preserve">Report</t>
  </si>
  <si>
    <t xml:space="preserve">clay soil high stock</t>
  </si>
  <si>
    <t xml:space="preserve">Dalgaard, R., N. Halberg, I. S. Kristensen and I. Larsen (2004). An LC inventory based on representative and coherent farm types. Life Cycle Assessment in the Agri-food sector,  (61), DIAS Report, Animal Husbandry. N. Halberg. Danish Institute of Agricultural Sciences: 98-106.</t>
  </si>
  <si>
    <t xml:space="preserve">clay soil, low stock</t>
  </si>
  <si>
    <t xml:space="preserve">New Zealand</t>
  </si>
  <si>
    <t xml:space="preserve">Ledgard, S. F., C. Basset-Mens, S. McLaren and M. Boyes (2007). Energy use, “food miles” and greenhouse gas emissions from New Zealand dairying – how efficient are we? Proceedings of the New Zealand Grassland Association: 223–228.</t>
  </si>
  <si>
    <t xml:space="preserve">Conference</t>
  </si>
  <si>
    <t xml:space="preserve">biosphical, mean AGRIBALYSE®</t>
  </si>
  <si>
    <t xml:space="preserve">Salou, T., S. Espagnol, A. Gac, P. Ponchant, A. l. Tocqueville, V. Colomb and H. M. G. v. d. Werf (2014). Life Cycle Assessment of French livestock products: Results of the AGRIBALYSE® program. Proceedings of the 9th International Conference on Life Cycle Assessment in the Agri-Food Sector. San Francisco: 1154-1162.</t>
  </si>
  <si>
    <t xml:space="preserve">organic</t>
  </si>
  <si>
    <t xml:space="preserve">grass/low maize silage-hostein enriched with omega 3 fatty acids from linseed, system expansion</t>
  </si>
  <si>
    <t xml:space="preserve">Nguyen, T. T. H., M. Doreau, M. S. Corson, M. Eugène, L. Delaby, G. Chesneau, Y. Gallard and H. M. G. van der Werf (2013). "Effect of dairy production system, breed and co-product handling methods on environmental impacts at farm level." Journal of Environmental Management 120(0): 127-137.</t>
  </si>
  <si>
    <t xml:space="preserve">Belflower, J. B., J. K. Bernard, D. K. Gattie, D. W. Hancock, L. M. Risse and C. Alan Rotz (2012). "A case study of the potential environmental impacts of different dairy production systems in Georgia." Agricultural Systems 108(0): 84-93.</t>
  </si>
  <si>
    <t xml:space="preserve">skim Milk, cow, skim, average </t>
  </si>
  <si>
    <t xml:space="preserve">Head, M., M. Sevenster, I. Odegard, B. Krutwagen, H. Croezen and G. Bergsma (2013). "Life cycle impacts of protein-rich foods: creating robust yet extensive life cycle models for use in a consumer app." Journal of Cleaner Production(in press): 1-10.</t>
  </si>
  <si>
    <t xml:space="preserve">grass/low maize silage-hostein, system expansion</t>
  </si>
  <si>
    <t xml:space="preserve">pasture</t>
  </si>
  <si>
    <t xml:space="preserve">O’Brien, D., L. Shalloo, J. Patton, F. Buckley, C. Grainger and M. Wallace (2012). "A life cycle assessment of seasonal grass-based and confinement dairy farms." Agricultural Systems 107(0): 33-46.</t>
  </si>
  <si>
    <t xml:space="preserve">Africa South </t>
  </si>
  <si>
    <t xml:space="preserve">Hagemann, M., T. Hemme, A. Ndambi, O. Alqaisi and M. N. Sultana (2011). "Benchmarking of greenhouse gas emissions of bovine milk production systems for 38 countries." Animal Feed Science and Technology 166–167(0): 46-58.</t>
  </si>
  <si>
    <t xml:space="preserve">bretagne</t>
  </si>
  <si>
    <t xml:space="preserve">Kanyarushoki, C., F. Fuchs and H. M. G. v. d. Werf (2008). Environmental evaluation of cow and goat milk chains in France. 6th International Conference on LCA in the Agri-Food Sector. Zurich, Ostfold Research.</t>
  </si>
  <si>
    <t xml:space="preserve">ECM organic, mixed farm</t>
  </si>
  <si>
    <t xml:space="preserve">Schader, C., K. Jud, M. S. Meier, T. Kuhn, B. Oehen and A. Gattinger (2012). Quantification of the reduction potential of GHG mitigation measures in Swiss organic milk production using a life cycle assessment approach. 8th International Conference on Life Cycle Assessment in the Agri-Food Sector (LCA Food 2012). Saint Malo, France. Rennes.</t>
  </si>
  <si>
    <t xml:space="preserve">biosphical,mean AGRIBALYSE®</t>
  </si>
  <si>
    <t xml:space="preserve">consequential</t>
  </si>
  <si>
    <t xml:space="preserve">Thomassen, M., R. Dalgaard, R. Heijungs and I. de Boer (2008). "Attributional and consequential LCA of milk production." The International Journal of Life Cycle Assessment 13(4): 339-349.</t>
  </si>
  <si>
    <t xml:space="preserve">clay sole medium stock</t>
  </si>
  <si>
    <t xml:space="preserve">lowlands organic</t>
  </si>
  <si>
    <t xml:space="preserve">Hörtenhuber, S., T. Lindenthal, B. Amon, T. Markut, L. Kirner and W. Zollitsch (2010). "Greenhouse gas emissions from selected Austrian dairy production systems—model calculations considering the effects of land use change." Renewable Agriculture and Food Systems 25(04): 316-329.</t>
  </si>
  <si>
    <t xml:space="preserve">Hospido, A., M. T. Moreira and G. Feijoo (2003). "Simplified life cycle assessment of galician milk production." International Dairy Journal 13(10): 783-796.</t>
  </si>
  <si>
    <t xml:space="preserve">Dunkley, C. S. and K. D. Dunkley (2013). "REVIEW - Greenhouse Gas Emissions from Livestock and Poultry, Agric Food Anal Bacteriol , 2013." Agric. Food Anal. Bacteriol 3:17-29.</t>
  </si>
  <si>
    <t xml:space="preserve">Lindenthal, T., T. Markut, S. Hörtenhuber and G. Rudolph (2010). Greenhouse Gas Emissions of Organic and Conventional Foodstuffs in Austria. VII International Conference on Life Cycle Assessment in the Agri-Food Sector (LCA Food 2010). Bari, Italy.</t>
  </si>
  <si>
    <r>
      <rPr>
        <sz val="10"/>
        <rFont val="Arial"/>
        <family val="0"/>
        <charset val="1"/>
      </rPr>
      <t xml:space="preserve">Schmidt, J.H., R. Dalgaard. National and farm level carbon footprint of milk </t>
    </r>
    <r>
      <rPr>
        <sz val="9"/>
        <rFont val="Myriad Hebrew Bold"/>
        <family val="0"/>
        <charset val="1"/>
      </rPr>
      <t xml:space="preserve">‐</t>
    </r>
    <r>
      <rPr>
        <sz val="9"/>
        <rFont val="Times New Roman"/>
        <family val="0"/>
        <charset val="1"/>
      </rPr>
      <t xml:space="preserve"> Methodology and results for Danish and Swedish milk 2005 at farm gate (2012), Arla Foods, Aarhus,  Accessed 16/02/2015 from http://lca-net.com/files/Arla-Methodology_report_20120724.pdf</t>
    </r>
  </si>
  <si>
    <t xml:space="preserve">Williams, A. G., E. Audsley and D. L. Sandars (2006). Determining the environmental burdens and resource use in the production of agricultural and horticultural commodities. Defra project report IS0205. Bedford, Cranfield and DEFRA.</t>
  </si>
  <si>
    <t xml:space="preserve">Zehetmeier, M., M. Gandorfer, H. Hoffmann, U. K. Müller, I. J. M. de Boer and A. Heißenhuber (2014). "The impact of uncertainties on predicted greenhouse gas emissions of dairy cow production systems." Journal of Cleaner Production 73(0): 116-124.</t>
  </si>
  <si>
    <t xml:space="preserve">Journal </t>
  </si>
  <si>
    <t xml:space="preserve">Basset-Mens, C., S. Ledgard and M. Boyes (2009). "Eco-efficiency of intensification scenarios for milk production in New Zealand." Ecological Economics 68(6): 1615-1625.</t>
  </si>
  <si>
    <t xml:space="preserve">grass/high maize silage-hostein enriched with omega 3 fatty acids from linseed, system expansion</t>
  </si>
  <si>
    <t xml:space="preserve">sand soil, low stock</t>
  </si>
  <si>
    <t xml:space="preserve">Cederberg, C. and B. Mattsson (2000). "Life cycle assessment of milk production — a comparison of conventional and organic farming." Journal of Cleaner Production 8(1): 49-60.</t>
  </si>
  <si>
    <t xml:space="preserve">lowlands conventional</t>
  </si>
  <si>
    <t xml:space="preserve">Christie, K. M., R. P. Rawnsley and R. J. Eckard (2011). "A whole farm systems analysis of greenhouse gas emissions of 60 Tasmanian dairy farms." Animal Feed Science and Technology 166–167(0): 653-662.</t>
  </si>
  <si>
    <t xml:space="preserve">uplands organic</t>
  </si>
  <si>
    <t xml:space="preserve">grass/high maize silage-hostein, system expansion</t>
  </si>
  <si>
    <t xml:space="preserve">Report </t>
  </si>
  <si>
    <t xml:space="preserve">Loijos, A. (2008). "Assumptions and methodologies for life cycle assessment of food products." Retrieved 02/02/2015, from http://www.linkcycle.com/foodprintmethods.pdf.</t>
  </si>
  <si>
    <t xml:space="preserve">grass-hostein cow, system expansion</t>
  </si>
  <si>
    <t xml:space="preserve">mediunAGRIBALYSE®</t>
  </si>
  <si>
    <t xml:space="preserve">uplands pasture organic</t>
  </si>
  <si>
    <t xml:space="preserve">sand soil highstck</t>
  </si>
  <si>
    <t xml:space="preserve">Flysjö, A., M. Henriksson, C. Cederberg, S. Ledgard and J.-E. Englund (2011). "The impact of various parameters on the carbon footprint of milk production in New Zealand and Sweden." Agricultural Systems 104(6): 459-469.</t>
  </si>
  <si>
    <t xml:space="preserve">Berlin, J., U. Sonesson and A.-M. Tillman (2008). "Product Chain Actors' Potential for Greening the Product Life Cycle." Journal of Industrial Ecology 12(1): 95-110.</t>
  </si>
  <si>
    <t xml:space="preserve">Audsley, E. and M. Wilkinson (2012). Using a model-based LCA to explore options for reducing national greenhouse gas emissions from crop and livestock production system. 8th International Conference on Life Cycle Assessment in the Agri-Food Sector (LCA Food 2012). Saint Malo, France. Rennes, France.</t>
  </si>
  <si>
    <t xml:space="preserve">Flysjö, A., C. Cederberg, M. Henriksson and S. Ledgard (2011). "How does co-product handling affect the carbon footprint of milk? Case study of milk production in New Zealand and Sweden." The International Journal of Life Cycle Assessment 16(5): 420-430.</t>
  </si>
  <si>
    <t xml:space="preserve">extensive</t>
  </si>
  <si>
    <t xml:space="preserve">Haas, G., F. Wetterich and U. Köpke (2001). "Comparing intensive, extensified and organic grassland farming in southern Germany by process life cycle assessment." Agriculture, Ecosystems &amp; Environment 83(1–2): 43-53.</t>
  </si>
  <si>
    <t xml:space="preserve">Chile</t>
  </si>
  <si>
    <t xml:space="preserve">ECM</t>
  </si>
  <si>
    <t xml:space="preserve">MITERRA-Europe model</t>
  </si>
  <si>
    <t xml:space="preserve">Lesschen, J. P., M. van den Berg, H. J. Westhoek, H. P. Witzke and O. Oenema (2011). "Greenhouse gas emission profiles of European livestock sectors." Animal Feed Science and Technology 166–167(0): 16-28.</t>
  </si>
  <si>
    <t xml:space="preserve">Dollé, J. B., A. Gac, V. Manneville, S. Moreau and E. Lorinquer (2012). Life cycle assessment on dairy and beef cattle farms in France. 8th International Conference on Life Cycle Assessment in the Agri-Food Sector (LCA Food 2012). Saint Malo, France. Rennes.</t>
  </si>
  <si>
    <t xml:space="preserve">Lafontaine, M., R. Saad, D. Gilbert and M. Margni (2012). Environmental life cycle assessment of milk in Canada. 8th International Conference on Life Cycle Assessment in the Agri-Food Sector (LCA Food 2012). Saint Malo, France. Rennes.</t>
  </si>
  <si>
    <t xml:space="preserve">EPD</t>
  </si>
  <si>
    <t xml:space="preserve">The Co-operative Group (2012). The Co-operative Group Sustainability Report 2012. Manchester, The Co-operative Group Limited.</t>
  </si>
  <si>
    <t xml:space="preserve">Aguirre-Villegas, H. A., T. H. Passos-Fonseca, D. J. Reinemann, L. E. Armentano, M. A. Wattiaux, V. E. Cabrera, J. M. Norman and R. Larson (2015). "Green cheese: Partial life cycle assessment of greenhouse gas emissions and energy intensity of integrated dairy production and bioenergy systems." Journal of Dairy Science 98(3): 1571-1592.</t>
  </si>
  <si>
    <t xml:space="preserve">Castanheira, É. G., A. C. Dias, L. Arroja and R. Amaro (2010). "The environmental performance of milk production on a typical Portuguese dairy farm." Agricultural Systems 103(7): 498-507.</t>
  </si>
  <si>
    <t xml:space="preserve">sandy soil medium stock</t>
  </si>
  <si>
    <t xml:space="preserve">pays thouarsais</t>
  </si>
  <si>
    <t xml:space="preserve">van der Werf, H. M. G., C. Kanyarushoki and M. S. Corson (2009). "An operational method for the evaluation of resource use and environmental impacts of dairy farms by life cycle assessment." Journal of Environmental Management 90(11): 3643-3652.</t>
  </si>
  <si>
    <t xml:space="preserve">conventional legume feed</t>
  </si>
  <si>
    <t xml:space="preserve">Baumgartner, D.U., L. de Baan, T. Nemecek (2008) European Grain Legumes - Environment-Friendly Animal Feed. Life Cycle Assessment of Pork, Chicken Meat, Egg, and Milk Production, WP2.2: Environmental Analysis of the Feed Chain, Final Report, Agroscope Reckenholz-Tänikon Research Station ART</t>
  </si>
  <si>
    <t xml:space="preserve">high concetrate supplements </t>
  </si>
  <si>
    <t xml:space="preserve">Lovett, D. K., L. Shalloo, P. Dillon and F. P. O’Mara (2006). "A systems approach to quantify greenhouse gas fluxes from pastoral dairy production as affected by management regime." Agricultural Systems 88(2–3): 156-179.</t>
  </si>
  <si>
    <t xml:space="preserve">Audsley, E., M. Brander, J. Chatterton, D. Murphy-Bokern, C. Webster and A. Williams (2009). How low can we go? An assessment of greenhouse gas emissions from the UK food system and the scope to reduce them by 2050. London, FCRN-WWF. Accessed: 17/02/2015 from: An assessment of greenhouse gas emissions from the UK food system end and the scope to reduce them by 2050 wwf.org.uk/downloads/how_low_report_1.pdf</t>
  </si>
  <si>
    <t xml:space="preserve">ecm</t>
  </si>
  <si>
    <t xml:space="preserve">Cederberg, C. and M. Stadig (2003). "System expansion and allocation in life cycle assessment of milk and beef production." The International Journal of Life Cycle Assessment 8(6): 350-356.</t>
  </si>
  <si>
    <t xml:space="preserve">mean AGRIBALYSE®</t>
  </si>
  <si>
    <t xml:space="preserve">Stefano, M. D. (2012b). "EPD for “piacere leggero” fresh milk in pet bottles." Retrieved 23/05/2013, from http://gryphon.environdec.com/data/files/6/9087/epd210_Granarolo_Fresh_milk_2013.pdf. </t>
  </si>
  <si>
    <t xml:space="preserve">Blonk, H., A. Kool, B. Luske and S. d. Waart (2008). Environmental effects of protein-rich food products in the Netherlands Consequences of animal protein substitutes Gouda, Blonk Milieuadvies.</t>
  </si>
  <si>
    <t xml:space="preserve">North America</t>
  </si>
  <si>
    <t xml:space="preserve">Vellinga, T., P. Gerber and C. Opio (2010). Greenhouse Gas Emissions from the Global Livestock Sector – Methodology for a Life Cycle Assessment Proceedings of the VII International Conference on Life Cycle Assessment in the Agri-Food Sector (LCA Food 2010). Bari, Italy.</t>
  </si>
  <si>
    <t xml:space="preserve">herd efficiency</t>
  </si>
  <si>
    <t xml:space="preserve">Kristensen, T., L. Mogensen, M. T. Knudsen and J. E. Hermansen (2011). "Effect of production system and farming strategy on greenhouse gas emissions from commercial dairy farms in a life cycle approach." Livestock Science 140(1–3): 136-148.</t>
  </si>
  <si>
    <t xml:space="preserve">meat and milk</t>
  </si>
  <si>
    <t xml:space="preserve">feeding level</t>
  </si>
  <si>
    <t xml:space="preserve">Flysjö, A., C. Cederberg, M. Henriksson and S. Ledgard (2012). "The interaction between milk and beef production and emissions from land use change – critical considerations in life cycle assessment and carbon footprint studies of milk." Journal of Cleaner Production 28(0): 134-142.</t>
  </si>
  <si>
    <t xml:space="preserve">semi skim milk, cow, semi-skim, average </t>
  </si>
  <si>
    <t xml:space="preserve">grassland</t>
  </si>
  <si>
    <t xml:space="preserve">low potential</t>
  </si>
  <si>
    <t xml:space="preserve">-</t>
  </si>
  <si>
    <t xml:space="preserve">intensive farming</t>
  </si>
  <si>
    <t xml:space="preserve">n yield crop</t>
  </si>
  <si>
    <t xml:space="preserve">ecm organic, dairy farm</t>
  </si>
  <si>
    <t xml:space="preserve">fpcm organic</t>
  </si>
  <si>
    <t xml:space="preserve">conventional soy feed</t>
  </si>
  <si>
    <t xml:space="preserve">medium potential</t>
  </si>
  <si>
    <t xml:space="preserve">Yan, M. J., J. Humphreys and N. M. Holden (2013). "Life cycle assessment of milk production from commercial dairy farms: The influence of management tactics." Journal of Dairy Science 96(7): 4112-4124.</t>
  </si>
  <si>
    <t xml:space="preserve">pas2050</t>
  </si>
  <si>
    <t xml:space="preserve">Tesco (2012). "Product carbon footprint summary." Retrieved 15/02/2015, from http://www.tescoplc.com/assets/files/cms/Tesco_Product_Carbon_Footprints_Summary%281%29.pdf. </t>
  </si>
  <si>
    <t xml:space="preserve">Gollnow, S., S. Lundie, A. D. Moore, J. McLaren, N. van Buuren, P. Stahle, K. Christie, D. Thylmann and T. Rehl (2014). "Carbon footprint of milk production from dairy cows in Australia." International Dairy Journal 37(1): 31-38.</t>
  </si>
  <si>
    <t xml:space="preserve">ECM organic</t>
  </si>
  <si>
    <t xml:space="preserve">alipne organic</t>
  </si>
  <si>
    <t xml:space="preserve">medium concentrate suppliments</t>
  </si>
  <si>
    <t xml:space="preserve">Mohan, A. M. (2009). "Carbon footprint to be displayed on Tesco U.K. milk." Carbon footprint to be displayed on Tesco U.K. milk Metrics, standards, and LCA. Retrieved 23/05/2013, from http://www.greenerpackage.com/metrics_standards/carbon_footprint_be_displayed_tesco_uk_milk</t>
  </si>
  <si>
    <t xml:space="preserve">Argentina</t>
  </si>
  <si>
    <t xml:space="preserve">high potential </t>
  </si>
  <si>
    <t xml:space="preserve">Stefano, M. D. (2012c). "Environmental product Declaration for Organic milk pasteurized at a high temperature and packaged in pet bottles." Retrieved 23/05/2013, from http://gryphon.environdec.com/data/files/6/9085/epd209_Granarolo_organic_milk_2013.pdf. </t>
  </si>
  <si>
    <t xml:space="preserve">grass-normande cow, system expansion</t>
  </si>
  <si>
    <t xml:space="preserve">low concentrate supplementation</t>
  </si>
  <si>
    <t xml:space="preserve">Bonesmo, H., K. A. Beauchemin, O. M. Harstad and A. O. Skjelvåg (2013). "Greenhouse gas emission intensities of grass silage based dairy and beef production: A systems analysis of Norwegian farms." Livestock Science 152(2–3): 239-252.</t>
  </si>
  <si>
    <t xml:space="preserve">Vergé, X. P. C., D. Maxime, J. A. Dyer, R. L. Desjardins, Y. Arcand and A. Vanderzaag (2013). "Carbon footprint of Canadian dairy products: Calculations and issues." Journal of Dairy Science 96(9): 6091-6104.</t>
  </si>
  <si>
    <t xml:space="preserve">grass/low maize silage-hostein enriched with omega 3 fatty acids from linseed, biophysical allocation</t>
  </si>
  <si>
    <t xml:space="preserve">Wilfart, A. D., J. Duchene, J. Barbie, H. M. G. Van der Werf, M. S. Corson and J. Aubin (2010). Using LCA in a forecasting method for reducing environmental impact of dairy farms. Proceedings of the VII International Conference on Life Cycle Assessment in the Agri-Food Sector (LCA Food 2010). Bari, Italy.
 </t>
  </si>
  <si>
    <t xml:space="preserve">alpne conventional</t>
  </si>
  <si>
    <t xml:space="preserve">grass/low maize silage-hostein, biophysical allocation</t>
  </si>
  <si>
    <t xml:space="preserve">Bava, L., M. Guerci, A. Sandrucci, A. Tamburini and M. Zucali (2012). Environmental impact and social attributes of small and large scale dairy farms. 8th International Conference on Life Cycle Assessment in the Agri-Food Sector (LCA Food 2012). Saint Malo, France. Rennes.</t>
  </si>
  <si>
    <t xml:space="preserve">uplands pasture conventional</t>
  </si>
  <si>
    <t xml:space="preserve">uplands</t>
  </si>
  <si>
    <t xml:space="preserve">grass/low maize silage-hostein enriched with omega 3 fatty acids from linseed, protein allocation</t>
  </si>
  <si>
    <t xml:space="preserve">China</t>
  </si>
  <si>
    <t xml:space="preserve">grass/low maize silage-hostein, protein allocation</t>
  </si>
  <si>
    <t xml:space="preserve">Stefano, M. D. (2012d). "Environmental product Declaration for High-quality pasteurized milk packaged in pet bottles." Retrieved 23/05/2013, from http://gryphon.environdec.com/data/files/6/9083/epd118_Granarolo_hig_quality_pasteurized_milk_2013.pdf. </t>
  </si>
  <si>
    <t xml:space="preserve">semi skimorganic semi skimmed 1L</t>
  </si>
  <si>
    <t xml:space="preserve">Stefano, M. D. (2012a). "EPD for organic semi-skimmed milk packaged in pet bottles." Retrieved 23/05/2013, from http://gryphon.environdec.com/data/files/6/9090/epd366_Granarolo_organic_semi-skimmed_milk_2013.pdf. </t>
  </si>
  <si>
    <t xml:space="preserve">Dairy Australia (2006). Australian Dairy Manufacturing Industry State of the Environment Report, Dairy Manufacturers Sustainability Council.</t>
  </si>
  <si>
    <t xml:space="preserve">Brazil</t>
  </si>
  <si>
    <t xml:space="preserve">grass/low maize silage-hostein enriched with omega 3 fatty acids from linseed, economic allocation</t>
  </si>
  <si>
    <t xml:space="preserve">Oceania</t>
  </si>
  <si>
    <t xml:space="preserve">Europe western</t>
  </si>
  <si>
    <t xml:space="preserve">grass/low maize silage-hostein, economic allocation</t>
  </si>
  <si>
    <t xml:space="preserve">Léis, C. M. d., V. P. d. S. Jr., S. R. Soares, F. T. Olszensvski and S. Meireles (2010). Environmental assessment of two dairy systems in Brazil South. Proceedings of the VII International Conference on Life Cycle Assessment in the Agri-Food Sector (LCA Food 2010). Bari, Italy.</t>
  </si>
  <si>
    <t xml:space="preserve">grass/high maize silage-hostein enriched with omega 3 fatty acids from linseed, biophysical allocation</t>
  </si>
  <si>
    <t xml:space="preserve">grass/high maize silage-hostein, biophysical allocation</t>
  </si>
  <si>
    <t xml:space="preserve">Guerci, M., L. Bava, M. Zucali, A. Sandrucci, C. Penati and A. Tamburini (2013). "Effect of farming strategies on environmental impact of intensive dairy farms in Italy." Journal of Dairy Research 80(03): 300-308.</t>
  </si>
  <si>
    <t xml:space="preserve">Guerci, M., M. Zucali, A. Sandrucci, A. Tamburini, C. Penati and L. Bava (2012). Life Cycle Assessment of milk production in Italian intensive dairy farms 8th International Conference on Life Cycle Assessment in the Agri-Food Sector (LCA Food 2012). Saint Malo, France. Rennes.</t>
  </si>
  <si>
    <t xml:space="preserve">intesive</t>
  </si>
  <si>
    <t xml:space="preserve">ECM - pasture</t>
  </si>
  <si>
    <t xml:space="preserve">grass-hostein cow, biophysical allocation</t>
  </si>
  <si>
    <t xml:space="preserve">Casey, J. W. and N. M. Holden (2006). "Quantification of GHG emissions from sucker-beef production in Ireland." Agricultural Systems 90(1–3): 79-98.</t>
  </si>
  <si>
    <t xml:space="preserve">Fantin, V., P. Buttol, R. Pergreffi and P. Masoni (2012). "Life cycle assessment of Italian high quality milk production. A comparison with an EPD study." Journal of Cleaner Production 28(0): 150-159.</t>
  </si>
  <si>
    <t xml:space="preserve">grass/high maize silage-hostein enriched with omega 3 fatty acids from linseed, protein allocation</t>
  </si>
  <si>
    <t xml:space="preserve">Perù</t>
  </si>
  <si>
    <t xml:space="preserve">coastal</t>
  </si>
  <si>
    <t xml:space="preserve">Bartl, K., C. A. Gómez and T. Nemecek (2011). "Life cycle assessment of milk produced in two smallholder dairy systems in the highlands and the coast of Peru." Journal of Cleaner Production 19(13): 1494-1505.</t>
  </si>
  <si>
    <t xml:space="preserve">Fantin, V., R. Pergreffi, P. Buttol and P. Masoni (2010). Life Cycle Assessment of Italian High Quality Milk Production. Proceedings of the VII International Conference on Life Cycle Assessment in the Agri-Food Sector (LCA Food 2010). Bari, italy.</t>
  </si>
  <si>
    <t xml:space="preserve">world</t>
  </si>
  <si>
    <t xml:space="preserve">Thomassen, M. A., M. A. Dolman, K. J. van Calker and I. J. M. de Boer (2009). "Relating life cycle assessment indicators to gross value added for Dutch dairy farms." Ecological Economics 68(8–9): 2278-2284.</t>
  </si>
  <si>
    <t xml:space="preserve">grass/high maize silage-hostein, protein allocation</t>
  </si>
  <si>
    <t xml:space="preserve">De Leis, M.C.,  J.V.P. Da Silva, S.R Soares, F.T. Olszensvski, and S Meireles, (2010). Environmental assessment of two dairy systems in Brazil South, Proceedings of the VII International Conference on Life Cycle Assessment in the Agri-Food Sector (LCA Food 2010), Bari, Italy.</t>
  </si>
  <si>
    <t xml:space="preserve">grass/high maize silage-hostein enriched with omega 3 fatty acids from linseed, economic allocation</t>
  </si>
  <si>
    <t xml:space="preserve">ecm organic</t>
  </si>
  <si>
    <t xml:space="preserve">grass-normande cow, biophysical allocation</t>
  </si>
  <si>
    <t xml:space="preserve">grass/high maize silage-hostein, economic allocation</t>
  </si>
  <si>
    <t xml:space="preserve">Usva, K., J. Nousiainen, H. Hyvärinen and Y. Virtanen (2012). LCAs for animal products pork, beef, milk and eggs in Finland. 8th International Conference on Life Cycle Assessment in the Agri-Food Sector (LCA Food 2012). Saint Malo, France. Rennes.</t>
  </si>
  <si>
    <t xml:space="preserve">grass-hostein cow, protein allocation</t>
  </si>
  <si>
    <t xml:space="preserve">Roer, A. G., A. Korsaeth, A. Johansen, A. K. Bakken, K. Daugstad, G. Fystro, T. M. Henriksen and A. H. Strømman (2012). The carbon footprint of producing milk, bovine meat and grain under heterogeneous conditions in Norway. 8th International Conference on LCA in the Agri-food Sector. Michael S Corson and H. M. G. vanderWerf. Saint Malo France, INRA.</t>
  </si>
  <si>
    <t xml:space="preserve">Mexico</t>
  </si>
  <si>
    <t xml:space="preserve">Grass-Hostein cow, Economic allocation</t>
  </si>
  <si>
    <t xml:space="preserve">mass allocation</t>
  </si>
  <si>
    <t xml:space="preserve">Grass-Normande cow, Economic allocation</t>
  </si>
  <si>
    <t xml:space="preserve">Turkey</t>
  </si>
  <si>
    <t xml:space="preserve">mass economic allocation</t>
  </si>
  <si>
    <t xml:space="preserve">Grass-Normande cow, Protein allocation</t>
  </si>
  <si>
    <t xml:space="preserve">Thoma, G., J. Popp, D. Nutter, D. Shonnard, R. Ulrich, M Matlock, D. Kim, Z. Neiderman, N. Kemper, C. East, N. Kemper and F. Adom (2010). "Regional Analysis of Greenhouse Gas Emissions from Milk Production Practices in the United States." Seventh International Conference on Life Cycle Assessment in the Agri-Food Sector. Retrieved 23/05/2013, from http://www.usdairy.com/Sustainability/Science/GreenhouseGas/Pages/FluidMilk.aspx.</t>
  </si>
  <si>
    <t xml:space="preserve">Thomassen, M. A., K. J. van Calker, M. C. J. Smits, G. L. Iepema and I. J. M. de Boer (2008). "Life cycle assessment of conventional and organic milk production in the Netherlands." Agricultural Systems 96(1–3): 95-107.</t>
  </si>
  <si>
    <t xml:space="preserve">FPCM organic</t>
  </si>
  <si>
    <t xml:space="preserve">Thomassen, M. A. and I. J. M. de Boer (2005). "Evaluation of indicators to assess the environmental impact of dairy production systems." Agriculture, Ecosystems &amp; Environment 111(1–4): 185-199.</t>
  </si>
  <si>
    <t xml:space="preserve">India</t>
  </si>
  <si>
    <t xml:space="preserve">organic, energy allocation</t>
  </si>
  <si>
    <t xml:space="preserve">Heller, M. C. and G. A. Keoleian (2011). "Life Cycle Energy and Greenhouse Gas Analysis of a Large-Scale Vertically Integrated Organic Dairy in the United States." Environmental Science &amp; Technology 45(5): 1903-1910.</t>
  </si>
  <si>
    <t xml:space="preserve">Morocco</t>
  </si>
  <si>
    <t xml:space="preserve">organic, economic allocation</t>
  </si>
  <si>
    <t xml:space="preserve">East Asia</t>
  </si>
  <si>
    <t xml:space="preserve">organic, mass allocation</t>
  </si>
  <si>
    <t xml:space="preserve">organic, no allocation</t>
  </si>
  <si>
    <t xml:space="preserve">Uganda</t>
  </si>
  <si>
    <t xml:space="preserve">Pakistan</t>
  </si>
  <si>
    <t xml:space="preserve">Central and South America</t>
  </si>
  <si>
    <t xml:space="preserve">North Africa</t>
  </si>
  <si>
    <t xml:space="preserve"> Asia South</t>
  </si>
  <si>
    <t xml:space="preserve">Africa Sub Saharan </t>
  </si>
  <si>
    <t xml:space="preserve">excluded</t>
  </si>
  <si>
    <t xml:space="preserve">Flours, Grains, Pulses  and Nuts</t>
  </si>
  <si>
    <t xml:space="preserve">Cereal</t>
  </si>
  <si>
    <t xml:space="preserve">Browne, N. A., R. J. Eckard, R. Behrendt and R. S. Kingwell (2011). "A comparative analysis of on-farm greenhouse gas emissions from agricultural enterprises in south eastern Australia." Animal Feed Science and Technology 166–167(0): 641-652.</t>
  </si>
  <si>
    <t xml:space="preserve">wheat flour whole</t>
  </si>
  <si>
    <t xml:space="preserve">Renz, B., N. Pavlenko, B. Acharya, C. Jemison, D. Lizas and T. Kollar (2014). Estimating Energy and Greenhouse Gas Emission Savings through Food Waste Source Reduction. Proceedings of the 9th International Conference on Life Cycle Assessment in the Agri-Food Sector. San Francisco: 1092-1102.</t>
  </si>
  <si>
    <t xml:space="preserve">after chickpeas</t>
  </si>
  <si>
    <t xml:space="preserve">Brock, P., S. Muir and A. Simmons (2014). LCA as a tool for targeted GHG mitigation in Australian cropping systems. Proceedings of the 9th International Conference on Life Cycle Assessment in the Agri-Food Sector. San Francisco: 167-175.</t>
  </si>
  <si>
    <t xml:space="preserve">organic, wheat flour whole</t>
  </si>
  <si>
    <t xml:space="preserve">Meisterling, K., C. Samaras and V. Schweizer (2009). "Decisions to reduce greenhouse gases from agriculture and product transport: LCA case study of organic and conventional wheat." Journal of Cleaner Production 17(2): 222-230.</t>
  </si>
  <si>
    <t xml:space="preserve">Nemecek, T. (2010). How to establish life cycle inventories of agricultural products? Switzerland, Reckenholz-Tänikon Research Station Federal Department of Economic Affairs FDEA.</t>
  </si>
  <si>
    <t xml:space="preserve">Biswas, W. K., L. Barton and D. Carter (2008). "Global warming potential of wheat production in Western Australia: a life cycle assessment." Water and Environment Journal 22(3): 206-216.</t>
  </si>
  <si>
    <t xml:space="preserve">after canola</t>
  </si>
  <si>
    <t xml:space="preserve">Knudsen, M. T., J. E. Hermansen, J. E. Olesen, C. F. E. Topp, K. Schelde, N. Angelopoulos and M. Reckling (2014). Climate impact of producing more grain legumes in Europe. Proceedings of the 9th International Conference on Life Cycle Assessment in the Agri-Food Sector. San Francisco: 641-646</t>
  </si>
  <si>
    <t xml:space="preserve">after wheat</t>
  </si>
  <si>
    <t xml:space="preserve">González, A. D., B. Frostell and A. Carlsson-Kanyama (2011). "Protein efficiency per unit energy and per unit greenhouse gas emissions: Potential contribution of diet choices to climate change mitigation." Food Policy 36(5): 562-570.</t>
  </si>
  <si>
    <t xml:space="preserve">Biswas, W. K., J. Graham, K. Kelly and M. B. John (2010). "Global warming contributions from wheat, sheep meat and wool production in Victoria, Australia – a life cycle assessment." Journal of Cleaner Production 18(14): 1386-1392.</t>
  </si>
  <si>
    <t xml:space="preserve">Röös, E., C. Sundberg and P.-A. Hansson (2011). "Uncertainties in the carbon footprint of refined wheat products: a case study on Swedish pasta." The International Journal of Life Cycle Assessment 16(4): 338-350.</t>
  </si>
  <si>
    <t xml:space="preserve">Jianyi, L., H. Yuanchao, C. Shenghui, K. Jiefeng and X. Lilai "Carbon footprints of food production in China (1979–2009)." Journal of Cleaner Production(0).</t>
  </si>
  <si>
    <t xml:space="preserve">Meul, M., C. Ginneberge, C. E. Van Middelaar, I. J. M. de Boer, D. Fremaut and G. Haesaert (2012). "Carbon footprint of five pig diets using three land use change accounting methods." Livestock Science 149(3): 215-223.</t>
  </si>
  <si>
    <t xml:space="preserve">wheat plain flourbulk pack</t>
  </si>
  <si>
    <t xml:space="preserve">Lantmännen (2012). " Climate declaration for Kungsörnen plain flour bulk pack." Retrieved 07/11/2013, from http://gryphon.environdec.com/data/files/6/9278/CD214SE.pdf.</t>
  </si>
  <si>
    <t xml:space="preserve">wheat Flour, wholemeal</t>
  </si>
  <si>
    <t xml:space="preserve">Lantmännen (2010a). " Climate declaration för wheat flout whole grain." Retrieved 07/11/2013, from http://gryphon.environdec.com/data/files/6/9279/CD213SE.pdf.</t>
  </si>
  <si>
    <t xml:space="preserve">Espinoza-Orias, N., H. Stichnothe and A. Azapagic (2011). "The carbon footprint of bread." The International Journal of Life Cycle Assessment 16(4): 351-365.</t>
  </si>
  <si>
    <t xml:space="preserve">Wheat – Milling </t>
  </si>
  <si>
    <t xml:space="preserve">wheat -  Flour, plain</t>
  </si>
  <si>
    <t xml:space="preserve">Lantmännen (2008a). " Climate declaration Kungsörnen Plain Flour." Retrieved 07/11/2013, from http://gryphon.environdec.com/data/files/6/8822/CD148_kungsornen_plain_flour_2012.pdf.</t>
  </si>
  <si>
    <t xml:space="preserve">Wheat  berry</t>
  </si>
  <si>
    <t xml:space="preserve">Villman, S. (2008b). "climate declaration for wheat berry." Retrieved 13/02/2015 from http://gryphon.environdec.com/data/files/6/8826/CD151se_Matvete_2012.pdf. </t>
  </si>
  <si>
    <t xml:space="preserve">Williams, A., E. Audsley and D. Sandars (2010). "Environmental burdens of producing bread wheat, oilseed rape and potatoes in England and Wales using simulation and system modelling." The International Journal of Life Cycle Assessment 15(8): 855-868.</t>
  </si>
  <si>
    <t xml:space="preserve">speing</t>
  </si>
  <si>
    <t xml:space="preserve">winter</t>
  </si>
  <si>
    <t xml:space="preserve">World</t>
  </si>
  <si>
    <t xml:space="preserve">Michaelowa, A. and B. Dransfeld (2008). "Greenhouse gas benefits of fighting obesity." Ecological Economics 66(2–3): 298-308.</t>
  </si>
  <si>
    <t xml:space="preserve">Meat Counter</t>
  </si>
  <si>
    <t xml:space="preserve">Ruminants</t>
  </si>
  <si>
    <t xml:space="preserve">dairy beef</t>
  </si>
  <si>
    <t xml:space="preserve">Benatti, L., B. Biolatti, S. Cinotti, C. Federici, C. Montanari, Kees, d. Roest, D. Rama, N. Brina, S. Daga, V. Mazzini, M. Zuchi, M. Marino and S. Pignatelli (2013). The sustainability of beef to coop market. Italy, coop.</t>
  </si>
  <si>
    <t xml:space="preserve">Peters, G. M., H. V. Rowley, S. Wiedemann, R. Tucker, M. D. Short and M. Schulz (2010). "Red meat production in Australia: Life cycle assessment and comparison with overseas studies." Environmental Science and Technology 44(4): 1327-1332.</t>
  </si>
  <si>
    <t xml:space="preserve">3. - a calf white meat for coop in italy white meat produced by italian breeders respecting the values of coop</t>
  </si>
  <si>
    <t xml:space="preserve">Ruminant</t>
  </si>
  <si>
    <t xml:space="preserve">utilised protien and energy</t>
  </si>
  <si>
    <t xml:space="preserve">Wiedemann, S. and M. Yan (2014). Livestock meat processing: inventory data and methods for handling co-production for major livestock species and meat products. Proceedings of the 9th International Conference on Life Cycle Assessment in the Agri-Food Sector. San Francisco: 1512-1520.</t>
  </si>
  <si>
    <t xml:space="preserve">Australia (NSW)</t>
  </si>
  <si>
    <t xml:space="preserve">mass based</t>
  </si>
  <si>
    <t xml:space="preserve">Lowland</t>
  </si>
  <si>
    <t xml:space="preserve">EBLEX (2012). The beef and sheep roadmap - phase three. kenilworth, EBLEX a division of the Agriculture and Horticulture Development Board </t>
  </si>
  <si>
    <t xml:space="preserve">Non-organic</t>
  </si>
  <si>
    <t xml:space="preserve">1. adult beef (beef and scottona) for coop in italy meat of adult cattle breeders produced by italian respecting the values of coop</t>
  </si>
  <si>
    <t xml:space="preserve">conventional</t>
  </si>
  <si>
    <t xml:space="preserve">denmark</t>
  </si>
  <si>
    <t xml:space="preserve">Hill &amp; upland</t>
  </si>
  <si>
    <t xml:space="preserve">LCA and economic allocation for bone free meat</t>
  </si>
  <si>
    <t xml:space="preserve">Desjardins, R. L., D. E. Worth, X. P. C. Vergé, D. Maxime, J. Dyer and D. Cerkowniak (2012). "Carbon Footprint of Beef Cattle." Sustainability 4: 3279-3301.</t>
  </si>
  <si>
    <t xml:space="preserve">bone-free carcass</t>
  </si>
  <si>
    <t xml:space="preserve">Culled cows from milk production</t>
  </si>
  <si>
    <t xml:space="preserve">Hallström, E., E. Röös and P. Börjesson (2014). "Sustainable meat consumption: A quantitative analysis of nutritional intake, greenhouse gas emissions and land use from a Swedish perspective." Food Policy 47(0): 81-90.</t>
  </si>
  <si>
    <t xml:space="preserve">E Europe</t>
  </si>
  <si>
    <t xml:space="preserve">Gerber, P. J., H. Steinfeld, B. Henderson, A. Mottet, C. Opio, J. Dijkman, A. Falcucci and G. Tempio (2013). Tackling climate change through livestock, A global assessment of emissions and mitigation opportunities. Rome, Food and Agriculture Organization of the United Nations (FAO).</t>
  </si>
  <si>
    <t xml:space="preserve">Ruminant </t>
  </si>
  <si>
    <t xml:space="preserve">Germany, Poland and Denmark</t>
  </si>
  <si>
    <t xml:space="preserve">Inland weaners, grass fattened </t>
  </si>
  <si>
    <t xml:space="preserve">Ridoutt, B. G., G. Page, K. Opie, J. Huang and W. Bellotti (2014). "Carbon, water and land use footprints of beef cattle production systems in southern Australia." Journal of Cleaner Production 73(0): 24-30.</t>
  </si>
  <si>
    <t xml:space="preserve">Inland weaners, grass fattened and feedlot finished 2yo steers Walgett Gunnedah Quirindi</t>
  </si>
  <si>
    <t xml:space="preserve">Ridoutt, B. G., P. Sanguansri and G. S. Harper (2011). "Comparing Carbon and Water Footprints for Beef Cattle Production in Southern Australia." Sustainability 3.</t>
  </si>
  <si>
    <t xml:space="preserve">apanese ox e grass-fed steers 24e36 month old steers, 340 kg DW</t>
  </si>
  <si>
    <t xml:space="preserve">Japanese ox—grass-fed 2-3yo steers Scone </t>
  </si>
  <si>
    <t xml:space="preserve">Bulls from milk production</t>
  </si>
  <si>
    <t xml:space="preserve">EU 27</t>
  </si>
  <si>
    <t xml:space="preserve">Leip, A., F. Weiss, T. Wassenaar, I. Perez, T. Fellmann, P. Loudjani, F. Tubiello, D. Grandgirard, S. Monni and K. Biala (2010). Evaluation of the Livestock Sector's Contribution to the EU Greenhouse Gas Emissions (GGELS), Final Report;. Ispra, Italy, Joint Research Centre, Institute for Environment and Sustainability.</t>
  </si>
  <si>
    <t xml:space="preserve">Yearling </t>
  </si>
  <si>
    <t xml:space="preserve">Yearling Gundagai 12-15month</t>
  </si>
  <si>
    <t xml:space="preserve">A partial life cycle assessment (LCA) was conducted using the Inte- grated Farm System Model (IFSM) </t>
  </si>
  <si>
    <t xml:space="preserve">Stackhouse-Lawson, K. R., C. A. Rotz, J. W. Oltjen and F. M. Mitloehner (2012). "Carbon footprint and ammonia emissions of California beef production systems." Journal of Animal Science 90(12): 4641-4655.</t>
  </si>
  <si>
    <t xml:space="preserve">coop for adult cattle in ireland irish beef produced by kepák respecting the values of coop</t>
  </si>
  <si>
    <t xml:space="preserve">Yearling Bathurst 12-15month</t>
  </si>
  <si>
    <t xml:space="preserve">suckler beef</t>
  </si>
  <si>
    <t xml:space="preserve">indoor slurry</t>
  </si>
  <si>
    <t xml:space="preserve">Mogensen, L., T. Kristensen, M. T. Knudsen, J. Hermansen, M. Vestergaard and N. I. Nielsen (2014). A method to handle emissions related to manure production in LCAs with an example from a steer production system. Proceedings of the 9th International Conference on Life Cycle Assessment in the Agri-Food Sector. San Francisco: 853-857.</t>
  </si>
  <si>
    <t xml:space="preserve">12m dairy bull/calf </t>
  </si>
  <si>
    <t xml:space="preserve">Nguyen, T. L. T., J. E. Hermansen and L. Mogensen (2010). "Environmental consequences of different beef production systems in the EU." Journal of Cleaner Production 18(8): 756-766.</t>
  </si>
  <si>
    <t xml:space="preserve">EU cattle</t>
  </si>
  <si>
    <t xml:space="preserve">yearling </t>
  </si>
  <si>
    <t xml:space="preserve">EU cattle Parkes  2-3yo</t>
  </si>
  <si>
    <t xml:space="preserve">100% outdoor </t>
  </si>
  <si>
    <t xml:space="preserve">biophysical, mean AGRIBALYSE® </t>
  </si>
  <si>
    <t xml:space="preserve">beef mince in store</t>
  </si>
  <si>
    <t xml:space="preserve">The Co-operative Group (2010). The Co-operative Group Sustainability Report 2010. Manchester, The Co-operative Group Limited.</t>
  </si>
  <si>
    <t xml:space="preserve">hybrid utiilisation protien</t>
  </si>
  <si>
    <t xml:space="preserve">Qld Arcadia Valley (finished steers)</t>
  </si>
  <si>
    <t xml:space="preserve">Eady, S., J. Viner and J. MacDonnell (2011b). "On-farm greenhouse gas emissions and water use: Case studies in the Queensland beef industry." Animal Production Science 51(8): 667-681.</t>
  </si>
  <si>
    <t xml:space="preserve">5 - adult cattle grazing in ireland - industry standard meat of adult bovine irish produced by kepák</t>
  </si>
  <si>
    <t xml:space="preserve">EU Netherlands</t>
  </si>
  <si>
    <t xml:space="preserve">grass silage based dairy and beef production</t>
  </si>
  <si>
    <t xml:space="preserve">Other imported</t>
  </si>
  <si>
    <t xml:space="preserve">cCalves from milk production, extensive</t>
  </si>
  <si>
    <t xml:space="preserve">Eady, S. J., P. Sanguansri, R. Bektash, B. Ridoutt, L. Simons and P. Swiergon (2011a). Carbon footprint for Australian agricultural products and downstream food products in the supermarket. ALCAS. Melbourne, ALCAS.</t>
  </si>
  <si>
    <t xml:space="preserve">Schroeder, R., L. K. Aguiar and R. Baines (2012). "Carbon Footprint in Meat Production and Supply Chains." Journal of Food Science and Engineering 2: 652-665.</t>
  </si>
  <si>
    <t xml:space="preserve">Roer, A.-G., A. Johansen, A. K. Bakken, K. Daugstad, G. Fystro and A. H. Strømman (2013). "Environmental impacts of combined milk and meat production in Norway according to a life cycle assessment with expanded system boundaries." Livestock Science 155(2–3): 384-396.</t>
  </si>
  <si>
    <t xml:space="preserve">Usa</t>
  </si>
  <si>
    <t xml:space="preserve">partial life cycle assessment (LCA) conducted using the Integrated Farm System Model (IFSM) </t>
  </si>
  <si>
    <t xml:space="preserve">Chatterton, J., A. Williams, G. Hateley, A. Curwen and J. Elliott (2014). A systems-LCA approach to modelling the impact of improvements in cattle health on greenhouse gas emissions. Proceedings of the 9th International Conference on Life Cycle Assessment in the Agri-Food Sector. San Francisco: 203-207.</t>
  </si>
  <si>
    <t xml:space="preserve">2 yr dairy bull/calf (steer)</t>
  </si>
  <si>
    <t xml:space="preserve">switzerland</t>
  </si>
  <si>
    <t xml:space="preserve">Mieleitner, J., M. Alig, F. Grandl, T. Nemecek and G. r. Gaillard (2012). Environmental impact of beef – role of slaughtering, meat processing and transport. 8th International Conference on Life Cycle Assessment in the Agri-Food Sector (LCA Food 2012). Saint Malo, France. Rennes.</t>
  </si>
  <si>
    <t xml:space="preserve">system expansion</t>
  </si>
  <si>
    <t xml:space="preserve">Canada W. </t>
  </si>
  <si>
    <t xml:space="preserve">feedlot</t>
  </si>
  <si>
    <t xml:space="preserve">Beauchemin, K. A., H. H. Janzen, S. M. Little, T. A. McAllister and S. M. McGinn (2011). "Mitigation of greenhouse gas emissions from beef production in western Canada – Evaluation using farm-based life cycle assessment." Animal Feed Science and Technology 166: 663-677.</t>
  </si>
  <si>
    <t xml:space="preserve">USA Mid-West</t>
  </si>
  <si>
    <t xml:space="preserve">Johnson, D., H. Phetteplace, A. Seidl, U. Schneider and B. McCarl (2003). Management Variations for U.S. Beef Production Systems: Effects on Greenhouse Gas Emissions and China. 3rd International Methane and Nitrous Oxide Mitigation Conference, Beijing, China,, China Coal Information Institute.</t>
  </si>
  <si>
    <t xml:space="preserve">indoor deep litter</t>
  </si>
  <si>
    <t xml:space="preserve">North coast weaners, grass </t>
  </si>
  <si>
    <t xml:space="preserve">North coast weaners,grass fattened and feedlot finished 2yo steers Casino Glen Innes Rangers Valley</t>
  </si>
  <si>
    <t xml:space="preserve">economic allocation</t>
  </si>
  <si>
    <t xml:space="preserve">bull beef high stocking</t>
  </si>
  <si>
    <t xml:space="preserve">Foley, P. A., P. Crosson, D. K. Lovett, T. M. Boland, F. P. O’Mara and D. A. Kenny (2011). "Whole-farm systems modelling of greenhouse gas emissions from pastoral suckler beef cow production systems." Agriculture, Ecosystems &amp; Environment 142(3–4): 222-230.</t>
  </si>
  <si>
    <t xml:space="preserve">W  Europe</t>
  </si>
  <si>
    <t xml:space="preserve">calf to beef steers 30 months old</t>
  </si>
  <si>
    <t xml:space="preserve">Cederberg, C., U. Sonesson, M. Henriksson, V. Sund and J. Davis (2009). Greenhouse gas emissions from Swedish production of meat, milk and eggs 1990 and 2005. SIK Report No 793. Sweden, SIK.</t>
  </si>
  <si>
    <t xml:space="preserve">Steers from milk production</t>
  </si>
  <si>
    <t xml:space="preserve">calf to beef young bulls 17 months old</t>
  </si>
  <si>
    <t xml:space="preserve">16 m dairy bull/calf </t>
  </si>
  <si>
    <t xml:space="preserve">100% suckler</t>
  </si>
  <si>
    <t xml:space="preserve">Uruguay</t>
  </si>
  <si>
    <t xml:space="preserve">Veysset, P., M. Lherm and D. Bébin (2010). "Energy consumption, greenhouse gas emissions and economic performance assessments in French Charolais suckler cattle farms: Model-based analysis and forecasts." Agricultural Systems 103(1): 41-50.</t>
  </si>
  <si>
    <t xml:space="preserve">Vergé, X. P. C., J. A. Dyer, R. L. Desjardins and D. Worth (2008). "Greenhouse gas emissions from the Canadian beef industry." Agricultural Systems 98(2): 126-134.</t>
  </si>
  <si>
    <t xml:space="preserve">Canada west</t>
  </si>
  <si>
    <t xml:space="preserve">mixed</t>
  </si>
  <si>
    <t xml:space="preserve">Kamali, F. P., M. P. M. Meuwissen and A. G. J. M. O. Lansink (2014). Evaluation of beef sustainability in conventional, organic, and mixed crop-beef supply chains. Proceedings of the 9th International Conference on Life Cycle Assessment in the Agri-Food Sector. San Francisco: 619-627.</t>
  </si>
  <si>
    <t xml:space="preserve">Cederberg, C., U. M. Persson, K. Neovius, S. Molander and R. Clift (2011). "Including Carbon Emissions from Deforestation in the Carbon Footprint of Brazilian Beef." Environmental Science &amp; Technology 45(5): 1773-1779.</t>
  </si>
  <si>
    <t xml:space="preserve">calf to weanling 9-10 months old</t>
  </si>
  <si>
    <t xml:space="preserve">USA Mid-West </t>
  </si>
  <si>
    <t xml:space="preserve">feedlot finished</t>
  </si>
  <si>
    <t xml:space="preserve">Pelletier, N., R. Pirog and R. Rasmussen (2010). "Comparative life cycle environmental impacts of three beef production strategies in the Upper Midwestern United States." Agricultural Systems 103(6): 380-389.</t>
  </si>
  <si>
    <t xml:space="preserve">Heifers from milk production</t>
  </si>
  <si>
    <t xml:space="preserve">Suckler production (cows and off-spring)</t>
  </si>
  <si>
    <t xml:space="preserve">Canada E</t>
  </si>
  <si>
    <t xml:space="preserve">Japan</t>
  </si>
  <si>
    <t xml:space="preserve">Ogino, A., H. Orito, K. Shimada and H. Hirooka (2007). "Evaluating environmental impacts of the Japanese beef cow–calf system by the life cycle assessment method." Animal Science Journal 78(4): 424-432.</t>
  </si>
  <si>
    <t xml:space="preserve">bull beef average sticking</t>
  </si>
  <si>
    <t xml:space="preserve">Oceana</t>
  </si>
  <si>
    <t xml:space="preserve">Roy, P., T. Orikasa, M. Thammawong, N. Nakamura, Q. Xu and T. Shiina (2012). "Life cycle of meats: An opportunity to abate the greenhouse gas emission from meat industry in Japan." Journal of Environmental Management 93(1): 218-224.</t>
  </si>
  <si>
    <t xml:space="preserve">Columbia</t>
  </si>
  <si>
    <t xml:space="preserve">Ponsioen, T. C. and T. J. Blonk (2012). "Calculating land use change in carbon footprints of agricultural products as an impact of current land use." Journal of Cleaner Production 28(0): 120-126.</t>
  </si>
  <si>
    <r>
      <rPr>
        <sz val="9"/>
        <rFont val="Times New Roman"/>
        <family val="0"/>
        <charset val="1"/>
      </rPr>
      <t xml:space="preserve">Ext suckler, fibre, O3</t>
    </r>
    <r>
      <rPr>
        <sz val="9"/>
        <color rgb="FF000053"/>
        <rFont val="Times New Roman"/>
        <family val="0"/>
        <charset val="1"/>
      </rPr>
      <t xml:space="preserve">f </t>
    </r>
  </si>
  <si>
    <t xml:space="preserve">Nguyen, T. T. H., H. M. G. van der Werf, M. Eugène, P. Veysset, J. Devun, G. Chesneau and M. Doreau (2012). "Effects of type of ration and allocation methods on the environmental impacts of beef-production systems." Livestock Science 145(1–3): 239-251.</t>
  </si>
  <si>
    <t xml:space="preserve">suckler co calf</t>
  </si>
  <si>
    <r>
      <rPr>
        <sz val="9"/>
        <rFont val="Times New Roman"/>
        <family val="0"/>
        <charset val="1"/>
      </rPr>
      <t xml:space="preserve">O3</t>
    </r>
    <r>
      <rPr>
        <sz val="9"/>
        <color rgb="FF000053"/>
        <rFont val="Times New Roman"/>
        <family val="0"/>
        <charset val="1"/>
      </rPr>
      <t xml:space="preserve">f </t>
    </r>
    <r>
      <rPr>
        <sz val="9"/>
        <rFont val="Times New Roman"/>
        <family val="0"/>
        <charset val="1"/>
      </rPr>
      <t xml:space="preserve">Ext suckler, fibre</t>
    </r>
  </si>
  <si>
    <t xml:space="preserve">pasture finished</t>
  </si>
  <si>
    <t xml:space="preserve">Ext suckler, maize, </t>
  </si>
  <si>
    <t xml:space="preserve">Ext suckler, maize </t>
  </si>
  <si>
    <t xml:space="preserve">Africa (near east and north)</t>
  </si>
  <si>
    <t xml:space="preserve">Cederberg, C., Meyer, D. &amp; Flysjö, A., (2009), Life Cycle Inventory of greenhouse gas emissions and use of land and energy of Brazilian beef exported to Europe, SIK-Rapport 792, accessed 13/02/2015 from http://www.konkurrensverket.se/globalassets/upphandling/hallbarhet/life-cycle-inventory-of-greenhouse-gas-emissions-and-use-of-land-and-energy-in-brazilian-beef-production-sik-2009792.pdf </t>
  </si>
  <si>
    <t xml:space="preserve">Nth America</t>
  </si>
  <si>
    <t xml:space="preserve">Venizuala</t>
  </si>
  <si>
    <t xml:space="preserve">Asia (East and South East)</t>
  </si>
  <si>
    <t xml:space="preserve">Sth America (latin America and caribean)</t>
  </si>
  <si>
    <t xml:space="preserve">Africa (subsaharan)</t>
  </si>
  <si>
    <t xml:space="preserve">Asia (south)</t>
  </si>
  <si>
    <t xml:space="preserve">excluded no system bondary, working described</t>
  </si>
  <si>
    <t xml:space="preserve">Richards, J. (2012). "Food’s Carbon Footprint " Green Eatz Healthy Eating for a Green Planet! from http://www.greeneatz.com/foods-carbon-footprint.html.</t>
  </si>
  <si>
    <t xml:space="preserve">unclear system boundary</t>
  </si>
  <si>
    <t xml:space="preserve">Chicken</t>
  </si>
  <si>
    <t xml:space="preserve">south of brazil</t>
  </si>
  <si>
    <t xml:space="preserve">Vamilson Prudêncio da Silva, Hayo van der Werf and Sebastião Roberto Soares (2010). LCA of French and Brazilian broiler poultry production system. Proceedings of the VII International Conference on Life Cycle Assessment in the Agri-Food Sector (LCA Food 2010). Bari, Italy.</t>
  </si>
  <si>
    <t xml:space="preserve"> Report</t>
  </si>
  <si>
    <t xml:space="preserve">Australia SA</t>
  </si>
  <si>
    <t xml:space="preserve">Wiedemann, S., E. McGahan and G. Poad (2012). Using Life Cycle Assesment to quantify the environmetal impact of chicken meat production. Toowoomba, FSA consulting for RIRDC.</t>
  </si>
  <si>
    <t xml:space="preserve">Canada (east)</t>
  </si>
  <si>
    <t xml:space="preserve">Vergé, X. P. C., J. A. Dyer, R. L. Desjardins and D. Worth (2009). "Long-term trends in greenhouse gas emissions from the Canadian poultry industry." The Journal of Applied Poultry Research 18(2): 210-222.</t>
  </si>
  <si>
    <t xml:space="preserve">brazil</t>
  </si>
  <si>
    <t xml:space="preserve">Prudêncio da Silva, V., H. M. G. van der Werf, S. R. Soares and M. S. Corson (2014). "Environmental impacts of French and Brazilian broiler chicken production scenarios: An LCA approach." Journal of Environmental Management 133(0): 222-231.</t>
  </si>
  <si>
    <t xml:space="preserve">Canada (west)</t>
  </si>
  <si>
    <t xml:space="preserve">Pelletier, N. (2008). "Environmental performance in the US broiler poultry sector: Life cycle energy use and greenhouse gas, ozone depleting, acidifying and eutrophying emissions." Agricultural Systems 98(2): 67-73.</t>
  </si>
  <si>
    <t xml:space="preserve">Import</t>
  </si>
  <si>
    <t xml:space="preserve">Intensive indoor</t>
  </si>
  <si>
    <t xml:space="preserve">IIntensive indoor</t>
  </si>
  <si>
    <t xml:space="preserve">Center West (CW)</t>
  </si>
  <si>
    <t xml:space="preserve">Eurpoe</t>
  </si>
  <si>
    <t xml:space="preserve"> QLD Free range</t>
  </si>
  <si>
    <t xml:space="preserve">Denmark </t>
  </si>
  <si>
    <t xml:space="preserve">conventional broiler house</t>
  </si>
  <si>
    <t xml:space="preserve">Nielsen, N. I., M. Jørgensen and S. Bahrndorff (2011). Greenhouse Gas Emission from the Danish Broiler Production estimated via LCA Methodology. Aarhius N, Denmark, Agrotech, Knowledge Centre for Agricultural production </t>
  </si>
  <si>
    <t xml:space="preserve">Katajajuuri, J.-M., J. Grönroos and K. Usva (2008). Environmental impacts and related improvement options of supply chain of chicken meat. 6th International Conference on LCA in the Agri-Food Sector. Zurich.</t>
  </si>
  <si>
    <t xml:space="preserve">González-García, S., Z. Gomez-Fernández, A. C. Dias, G. Feijoo, M. T. Moreira and L. Arroja (2014). "Life Cycle Assessment of broiler chicken production: a Portuguese case study." Journal of Cleaner Production 74(0): 125-134.</t>
  </si>
  <si>
    <t xml:space="preserve">Helgeson, P. (2011). An overview Life Cycle Assessment in the poultry industry. Minnesota Environmental Initiative.</t>
  </si>
  <si>
    <t xml:space="preserve">roast chicken</t>
  </si>
  <si>
    <t xml:space="preserve">Bengtsson, J. and J. Seddon (2013). "Cradle to retailer or quick service restaurant gate life cycle assessment of chicken products in Australia." Journal of Cleaner Production 41(0): 291-300.</t>
  </si>
  <si>
    <t xml:space="preserve"> QLD organic</t>
  </si>
  <si>
    <t xml:space="preserve">Reunion Island</t>
  </si>
  <si>
    <t xml:space="preserve">Thévenot, A., J. Aubin, E. Tillard and J. Vayssières (2013). "Accounting for farm diversity in Life Cycle Assessment studies – the case of poultry production in a tropical island." Journal of Cleaner Production 57(0): 280-292.</t>
  </si>
  <si>
    <t xml:space="preserve">United Kingdom </t>
  </si>
  <si>
    <t xml:space="preserve">standard</t>
  </si>
  <si>
    <t xml:space="preserve">Leinonen, I., A. G. Williams, J. Wiseman, J. Guy and I. Kyriazakis (2012 ). "Predicting the environmental impacts of chicken systems in the United Kingdom through a life cycle assessment: Broiler production systems." Poultry Science Association Inc 91: 8-25.</t>
  </si>
  <si>
    <t xml:space="preserve">conventional </t>
  </si>
  <si>
    <t xml:space="preserve">Breast fillet conventional delivered to restaurant based on economic allocation</t>
  </si>
  <si>
    <t xml:space="preserve">Pardo, G., A. Ciruelos, N. López, L. González, S. Ramos and J. Zufía (2012). Environmental improvement of a chicken product through life cycle assessment methodology. 8th International conference on Life Cycle Assessment in the Agri-food sector. Saint-Malo, France, Basque Centre for Climate Change.</t>
  </si>
  <si>
    <t xml:space="preserve">free range</t>
  </si>
  <si>
    <t xml:space="preserve">barn</t>
  </si>
  <si>
    <t xml:space="preserve">Leinonen, I., A. Williams and I. Kyriazakis (2012). Quantifying environmental impacts and their uncertainties for UK broiler and egg production systems. 8th International Conference on Life Cycle Assessment in the Agri-Food Sector (LCA Food 2012). Saint Malo, France. Rennes.</t>
  </si>
  <si>
    <t xml:space="preserve">Sth America (Latin America and Caribean)</t>
  </si>
  <si>
    <t xml:space="preserve">USA </t>
  </si>
  <si>
    <t xml:space="preserve">b/s thighs conventional brolier house</t>
  </si>
  <si>
    <t xml:space="preserve">tenders  conventional brolier house</t>
  </si>
  <si>
    <t xml:space="preserve">Breast fillet free-range delivered to restaurant</t>
  </si>
  <si>
    <t xml:space="preserve">B/S breasts  conventional brolier house</t>
  </si>
  <si>
    <t xml:space="preserve">sliced chicken breast</t>
  </si>
  <si>
    <t xml:space="preserve">excluded, cooking amount not disclosed</t>
  </si>
  <si>
    <t xml:space="preserve">Market Value Chicken Breast Fillets Frozen</t>
  </si>
  <si>
    <t xml:space="preserve">eggs (cage)</t>
  </si>
  <si>
    <t xml:space="preserve">Wiedemann, S. G. and E. J. McGahan (2011). Environmental assessment of an egg production supply chain using life cycle assessment, final report, Australian Egg Corporation Limited.</t>
  </si>
  <si>
    <t xml:space="preserve">eggs (free range)</t>
  </si>
  <si>
    <t xml:space="preserve">eggs (gradle to farmgate)</t>
  </si>
  <si>
    <t xml:space="preserve">Taylor, R. C., H. Omed and G. Edwards-Jones (2014). "The greenhouse emissions footprint of free-range eggs." Poultry Science 93(1): 231-237.</t>
  </si>
  <si>
    <t xml:space="preserve">danish</t>
  </si>
  <si>
    <t xml:space="preserve">Nielsen, N. I., M. Jørgensen and I. K. Rasmussen (2013). Greenhouse Gas Emission from Danish Organic Egg Production estimated via LCA Methodology. Aarhus, Knowledge Centre for Agriculture, Poultry.</t>
  </si>
  <si>
    <t xml:space="preserve">Pelletier, N., M. Ibarburu and H. Xin (2014). "Comparison of the environmental footprint of the egg industry in the United States in 1960 and 2010." Poultry Science 93(2): 241-255.</t>
  </si>
  <si>
    <t xml:space="preserve">Stefano, M. D. (2013b). "EPD Granarolo Fresh Organic Eggs." Retrieved 20/01/2014, from http://gryphon.environdec.com/data/files/6/9686/epd128_Granarolo_Mozzarella_2013-10-14.pdf. </t>
  </si>
  <si>
    <t xml:space="preserve">Cage</t>
  </si>
  <si>
    <t xml:space="preserve">Leinonen, I. and I. Kyriazakis (2013). "Quantifying the environmental impacts of UK broiler and egg production systems." lohmann-information 48(2): 45-50.</t>
  </si>
  <si>
    <t xml:space="preserve">cage</t>
  </si>
  <si>
    <t xml:space="preserve">Free range</t>
  </si>
  <si>
    <t xml:space="preserve">Barn</t>
  </si>
  <si>
    <t xml:space="preserve">greenhouse</t>
  </si>
  <si>
    <t xml:space="preserve">Berners-Lee, M., C. Hoolohan, H. Cammack and C. N. Hewitt (2012). "The relative greenhouse gas impacts of realistic dietary choices." Energy Policy 43(0): 184-190.</t>
  </si>
  <si>
    <t xml:space="preserve">Dekker, S. E. M., I. J. M. d. Boer, A. J. A. Aarnink and P. W. G. G. Koerkamp (2008). Environmental hotspot identification of organic egg production. 6th International Conference on LCA in the Agri-Food Sector. Zurich, Ostfold Research.</t>
  </si>
  <si>
    <t xml:space="preserve">USA Iowa</t>
  </si>
  <si>
    <t xml:space="preserve">utilising animal protien as feed</t>
  </si>
  <si>
    <t xml:space="preserve">Pelletier, N., M. Ibarburu and H. Xin (2013). "A carbon footprint analysis of egg production and processing supply chains in the Midwestern United States." Journal of Cleaner Production 54(0): 108-114.</t>
  </si>
  <si>
    <t xml:space="preserve">2,88</t>
  </si>
  <si>
    <t xml:space="preserve">Pork</t>
  </si>
  <si>
    <t xml:space="preserve">Non-Ruminants</t>
  </si>
  <si>
    <t xml:space="preserve">Focus on environment </t>
  </si>
  <si>
    <t xml:space="preserve">Cederberg, C. and A. Flysjö (2004). Environmental assessment of future pig farming systems –quantification of three scenarios from the FOOD 21 synthesis wor. SIK – The Swedish Institute for Food and Biotechnology. Göteborg,, SIK – The Swedish Institute for Food and Biotechnology.</t>
  </si>
  <si>
    <t xml:space="preserve">Kool, A., H. Blonk, T. Ponsioen, W. Sukkel, H. Vermeer, J. d. Vries and R. Hoste (2009). Carbon footprints of conventional and organic pork: Assessment of Typical Production Systems in the Netherlands, Denmark, England and German. Gouda, Blonk Milieu Advies BV.</t>
  </si>
  <si>
    <t xml:space="preserve">Conventional</t>
  </si>
  <si>
    <t xml:space="preserve">system 2d, AGRIBALYSE®</t>
  </si>
  <si>
    <t xml:space="preserve">Espagnol, S., A. Rugani, C. Roguet, A. Loussouarn, Y. Ramonet and J.-Y. Dourmad (2014). Environmental improvement of pig production: construction and assessment of eight models of pig farms for the future. Proceedings of the 9th International Conference on Life Cycle Assessment in the Agri-Food Sector. San Francisco: 372-379.</t>
  </si>
  <si>
    <t xml:space="preserve">system 2a, AGRIBALYSE®</t>
  </si>
  <si>
    <t xml:space="preserve">Conventional litter southern supply chain, low grade meat</t>
  </si>
  <si>
    <t xml:space="preserve">Wiedemann, S., E. McGahan, S. Grist and T. Grant (2010). Environmental Assessment of Two Pork Supply Chains Using Life Cycle Assessment. RIRDC Publication No. 09/176. canberra, Rural Industries Research and Development Corporation.</t>
  </si>
  <si>
    <t xml:space="preserve">system 1b, AGRIBALYSE®</t>
  </si>
  <si>
    <t xml:space="preserve">Focus on animal welfare </t>
  </si>
  <si>
    <t xml:space="preserve">corsica</t>
  </si>
  <si>
    <t xml:space="preserve">farm 3</t>
  </si>
  <si>
    <t xml:space="preserve">Espagnol, S. and J. Demartini (2014). Environmental impacts of extensive outdoor pig production systems in Corsica. Proceedings of the 9th International Conference on Life Cycle Assessment in the Agri-Food Sector. San Francisco: 364-371.</t>
  </si>
  <si>
    <t xml:space="preserve">system 2cb, AGRIBALYSE®</t>
  </si>
  <si>
    <t xml:space="preserve">Conventional </t>
  </si>
  <si>
    <t xml:space="preserve">Strid Eriksson, I., H. Elmquist, S. Stern and T. Nybrant (2005). "Environmental Systems Analysis of Pig Production - The Impact of Feed Choice (12 pp)." The International Journal of Life Cycle Assessment 10(2): 143-154.</t>
  </si>
  <si>
    <t xml:space="preserve">system 1c, AGRIBALYSE®</t>
  </si>
  <si>
    <t xml:space="preserve">Focus on quality and price </t>
  </si>
  <si>
    <t xml:space="preserve">system 3, AGRIBALYSE®</t>
  </si>
  <si>
    <t xml:space="preserve">Mackenzie, S., I. Leinonen, N. Ferguson and I. Kyriazakis1 (2014). Accounting for uncertainty in the quantification of the environmental impacts of Canadian pig farming systems. Proceedings of the 9th International Conference on Life Cycle Assessment in the Agri-Food Sector. San Francisco: 743-751.</t>
  </si>
  <si>
    <t xml:space="preserve">attributional</t>
  </si>
  <si>
    <t xml:space="preserve">Nguyen, T. L. T., J. E. Hermansen and L. Mogensen (2011). "Environmental assessment of Danish pork. Aarhus University, Department of Agroecology. Denmark, Report no 103." Retrieved 14/02/2016, from http://web.agrsci.dk/djfpublikation/djfpdf/ir_103_54761_indhold_internet.pdf.</t>
  </si>
  <si>
    <t xml:space="preserve">Canada east</t>
  </si>
  <si>
    <t xml:space="preserve">with anaerobic digeser on farm</t>
  </si>
  <si>
    <t xml:space="preserve">Garrigues, E., M. S. Corson, A. l. Wilfart and S. Menasseri (2014). Effect of on-farm biogas production on impacts of pig production in Brittany, France. Proceedings of the 9th International Conference on Life Cycle Assessment in the Agri-Food Sector. San Francisco: 450-455.</t>
  </si>
  <si>
    <r>
      <rPr>
        <sz val="9"/>
        <rFont val="Times New Roman"/>
        <family val="0"/>
        <charset val="1"/>
      </rPr>
      <t xml:space="preserve">GAP</t>
    </r>
    <r>
      <rPr>
        <sz val="9"/>
        <color rgb="FF000053"/>
        <rFont val="Times New Roman"/>
        <family val="0"/>
        <charset val="1"/>
      </rPr>
      <t xml:space="preserve">b </t>
    </r>
  </si>
  <si>
    <t xml:space="preserve">Basset-Mens, C. and H. M. G. van der Werf (2005). "Scenario-based environmental assessment of farming systems: the case of pig production in France." Agriculture, Ecosystems &amp; Environment 105(1‚Äì2): 127-144.</t>
  </si>
  <si>
    <t xml:space="preserve">system 2b, AGRIBALYSE®</t>
  </si>
  <si>
    <t xml:space="preserve">baseline</t>
  </si>
  <si>
    <t xml:space="preserve">Conventional litter southern supply chain, mass allocation</t>
  </si>
  <si>
    <t xml:space="preserve">Dourmad, J. Y., J. Ryschawy, T. Trousson, M. Bonneau, J. Gonzalez, H. W. J. Houwers, M. Hviid, C. Zimmer, T. L. Nguyen and L. Morgensent (2012). Evaluation of the environmental sustainability of different European pig production systems using life cycle assessmen. 8th International Conference on Life Cycle Assessment in the Agri-Food Sector (LCA Food 2012). Saint Malo, France. Rennes.</t>
  </si>
  <si>
    <t xml:space="preserve"> intensive indoor</t>
  </si>
  <si>
    <t xml:space="preserve">Reckmann, K., I. Traulsen and J. Krieter (2013). "Life Cycle Assessment of pork production: A data inventory for the case of Germany." Livestock Science 157(2–3): 586-596.</t>
  </si>
  <si>
    <t xml:space="preserve">biosphical, mean AGRIBALYSE® biophysical</t>
  </si>
  <si>
    <t xml:space="preserve">baseline, AGRIBALYSE®</t>
  </si>
  <si>
    <t xml:space="preserve">pig pasture system rouge quality label, AGRIBALYSE®</t>
  </si>
  <si>
    <t xml:space="preserve">US </t>
  </si>
  <si>
    <t xml:space="preserve">conv, high profit </t>
  </si>
  <si>
    <t xml:space="preserve">Pelletier, N., P. Lammers, D. Stender and R. Pirog (2010). "Life cycle assessment of high- and low-profitability commodity and deep-bedded niche swine production systems in the Upper Midwestern United States." Agricultural Systems 103(9): 599-608.</t>
  </si>
  <si>
    <t xml:space="preserve">Biosphical, mean AGRIBALYSE® biophysical</t>
  </si>
  <si>
    <t xml:space="preserve">Rugani, B., E. Neri, V. Niccolucci, F. M. Pulselli and S. Bastianoni (2012). Emergy and life-cycle sustainability of pig meat products. 8th International Conference on Life Cycle Assessment in the Agri-Food Sector (LCA Food 2012). Saint Malo, France. Rennes.</t>
  </si>
  <si>
    <t xml:space="preserve">nNiche, litter, high profit </t>
  </si>
  <si>
    <t xml:space="preserve">Cherubini, E., G. M. Zanghelini, R. A. F. Alvarenga, D. Franco and S. R. Soares (2015). "Life cycle assessment of swine production in Brazil: a comparison of four manure management systems." Journal of Cleaner Production 87(0): 68-77.</t>
  </si>
  <si>
    <t xml:space="preserve">top third overall, indoor, slatted housing, non-organic</t>
  </si>
  <si>
    <t xml:space="preserve">Fry, J. and C. Kingston (2009). Life Cycle Assessment of Pork. Final Report Environmental Resources Management, Agriculture and Horticulture Development Board Meat Services, AHDBMS.</t>
  </si>
  <si>
    <t xml:space="preserve">conventional litter southern supply chain, economic allocation</t>
  </si>
  <si>
    <t xml:space="preserve">top third mortality rates, indoor, slatted housing, non-organic</t>
  </si>
  <si>
    <t xml:space="preserve">top third feed conversion, indoor, slatted housing, non-organic</t>
  </si>
  <si>
    <t xml:space="preserve">on farm feed supply, AGRIBALYSE®</t>
  </si>
  <si>
    <t xml:space="preserve">farmgate</t>
  </si>
  <si>
    <t xml:space="preserve">rapeseed meal conventional, AGRIBALYSE®</t>
  </si>
  <si>
    <t xml:space="preserve">Dalgaard, R., N. Halberg and J. E. Hermansen (2007). "Danish pork production An environmental assessment." DJF Animal Science(82): 1-38.</t>
  </si>
  <si>
    <t xml:space="preserve">top third piglet numbers, indoor, slatted housing, non-organic</t>
  </si>
  <si>
    <t xml:space="preserve">Conventional, AGRIBALYSE®</t>
  </si>
  <si>
    <t xml:space="preserve">BPEX, indoor, fully slatted</t>
  </si>
  <si>
    <t xml:space="preserve">best case housing for ammonia mgmt, indoor, slatted housing, non-organic</t>
  </si>
  <si>
    <t xml:space="preserve">pig, excess slury conventional, AGRIBALYSE®</t>
  </si>
  <si>
    <t xml:space="preserve">system 1a, AGRIBALYSE®</t>
  </si>
  <si>
    <t xml:space="preserve">soymeal conventional, AGRIBALYSE®</t>
  </si>
  <si>
    <t xml:space="preserve">Halberg, N., J. Hermansen, I. Kristensen, J. Eriksen, N. Tvedegaard and B. Petersen (2010). "Impact of organic pig production systems on CO2 emission, C sequestration and nitrate pollution." Agronomy for Sustainable Development 30(4): 721-731.</t>
  </si>
  <si>
    <t xml:space="preserve">Conv, low profit </t>
  </si>
  <si>
    <t xml:space="preserve">pig, outdoor run, rouge quality label, AGRIBALYSE®</t>
  </si>
  <si>
    <t xml:space="preserve">Red labela </t>
  </si>
  <si>
    <t xml:space="preserve">farm2</t>
  </si>
  <si>
    <t xml:space="preserve">niche, litter, low profit </t>
  </si>
  <si>
    <t xml:space="preserve">Brenton, P., Edwards Jones, G. Jensen and M. Friis. (2010). Do Current Accounting Methodologies Disadvantage Developing Countries, World Bank.</t>
  </si>
  <si>
    <t xml:space="preserve">Nguyen, T. L. T., J. E. Hermansen and L. Mogensen (2012). "Environmental costs of meat production: the case of typical EU pork production." Journal of Cleaner Production 28(0): 168-176.</t>
  </si>
  <si>
    <t xml:space="preserve">traditional</t>
  </si>
  <si>
    <t xml:space="preserve">conventional slatted floor, low grade meat</t>
  </si>
  <si>
    <t xml:space="preserve">Organic, French rules </t>
  </si>
  <si>
    <t xml:space="preserve">pig organic, AGRIBALYSE®</t>
  </si>
  <si>
    <t xml:space="preserve">slaughter weight</t>
  </si>
  <si>
    <t xml:space="preserve">Dolman, M. A., H. C. J. Vrolijk and I. J. M. deBoer (2010). Explaining relations between economic and life cycle assessment indicators for Dutch pig fattening farms. VII International Conference on Life Cycle Assessment in the Agri-Food Sector (LCA Food 2010). Bari, Italy.</t>
  </si>
  <si>
    <t xml:space="preserve">conventional slatted floor, mass allocation</t>
  </si>
  <si>
    <t xml:space="preserve">conventional slatted floor, economic allocation</t>
  </si>
  <si>
    <t xml:space="preserve">Corsica</t>
  </si>
  <si>
    <t xml:space="preserve">farm 1</t>
  </si>
  <si>
    <t xml:space="preserve">Fiala, N.,(2008). Meeting the demand: An estimation of potential future greenhouse gas emissions from meat production. Ecological Economics 67, 412-419.</t>
  </si>
  <si>
    <t xml:space="preserve">Fig. 4. Total feed area for each of the livestock sectors in the EU-27. </t>
  </si>
  <si>
    <t xml:space="preserve">Feed Type</t>
  </si>
  <si>
    <t xml:space="preserve">Dairy cows</t>
  </si>
  <si>
    <t xml:space="preserve">Beef cattle</t>
  </si>
  <si>
    <t xml:space="preserve">Pigs</t>
  </si>
  <si>
    <t xml:space="preserve">Laying hens</t>
  </si>
  <si>
    <t xml:space="preserve">Feed Type (%=</t>
  </si>
  <si>
    <t xml:space="preserve">Grass</t>
  </si>
  <si>
    <t xml:space="preserve">Fodder maize</t>
  </si>
  <si>
    <t xml:space="preserve">Other fodder</t>
  </si>
  <si>
    <t xml:space="preserve">Feed cereals</t>
  </si>
  <si>
    <t xml:space="preserve">Protein rich feed</t>
  </si>
  <si>
    <t xml:space="preserve">Energy rich feed</t>
  </si>
  <si>
    <t xml:space="preserve">Other feed</t>
  </si>
  <si>
    <t xml:space="preserve">Fodder root crops</t>
  </si>
  <si>
    <t xml:space="preserve">TOTAL</t>
  </si>
  <si>
    <t xml:space="preserve">Fig. 7. Total greenhouse gas emissions from the various emission sources associated with livestock production in the EU-27. </t>
  </si>
  <si>
    <t xml:space="preserve">GHGE (Mton CO2e)</t>
  </si>
  <si>
    <t xml:space="preserve">GHGE (t CO2e / ha)</t>
  </si>
  <si>
    <t xml:space="preserve">N2O soil emission</t>
  </si>
  <si>
    <t xml:space="preserve">Organic soils &amp; liming</t>
  </si>
  <si>
    <t xml:space="preserve">Fuel &amp; electricity use</t>
  </si>
  <si>
    <t xml:space="preserve">Fig. 8. GHG emission per kg milk within EU countries as it relates to emission sources. </t>
  </si>
  <si>
    <t xml:space="preserve">SUMMARY</t>
  </si>
  <si>
    <t xml:space="preserve">Slovenia</t>
  </si>
  <si>
    <t xml:space="preserve">Lithuania</t>
  </si>
  <si>
    <t xml:space="preserve">Greece</t>
  </si>
  <si>
    <t xml:space="preserve">Hungary</t>
  </si>
  <si>
    <t xml:space="preserve">Latvia</t>
  </si>
  <si>
    <t xml:space="preserve">Authors</t>
  </si>
  <si>
    <t xml:space="preserve">Year</t>
  </si>
  <si>
    <t xml:space="preserve">Crop / Fruit / Vegetable</t>
  </si>
  <si>
    <t xml:space="preserve">Landscape</t>
  </si>
  <si>
    <t xml:space="preserve">production system</t>
  </si>
  <si>
    <t xml:space="preserve">Impact category</t>
  </si>
  <si>
    <t xml:space="preserve">Impact per product unit conventional</t>
  </si>
  <si>
    <t xml:space="preserve">Impact per product unit organic</t>
  </si>
  <si>
    <t xml:space="preserve">Unit</t>
  </si>
  <si>
    <t xml:space="preserve">Impact per area and year conventional</t>
  </si>
  <si>
    <t xml:space="preserve">Impact per area and year organic</t>
  </si>
  <si>
    <t xml:space="preserve">Remarks</t>
  </si>
  <si>
    <t xml:space="preserve">Relative difference per product unit (basis = conv.)</t>
  </si>
  <si>
    <t xml:space="preserve">Significant difference?</t>
  </si>
  <si>
    <t xml:space="preserve">Relative difference per area and year (basis = conv.)</t>
  </si>
  <si>
    <t xml:space="preserve">Life cylce system boundary</t>
  </si>
  <si>
    <t xml:space="preserve">Data source</t>
  </si>
  <si>
    <t xml:space="preserve">Productivity conventional</t>
  </si>
  <si>
    <t xml:space="preserve">Productivity organic</t>
  </si>
  <si>
    <t xml:space="preserve">Relative difference productivity
(delivered milk)
(basis = conv.)</t>
  </si>
  <si>
    <t xml:space="preserve">arable_crops</t>
  </si>
  <si>
    <t xml:space="preserve">Venkat</t>
  </si>
  <si>
    <t xml:space="preserve">USA (California)</t>
  </si>
  <si>
    <t xml:space="preserve">Alfalfa</t>
  </si>
  <si>
    <t xml:space="preserve">Hilly</t>
  </si>
  <si>
    <t xml:space="preserve">kg CO2 eq./kg</t>
  </si>
  <si>
    <t xml:space="preserve">kg CO2 eq./ha</t>
  </si>
  <si>
    <t xml:space="preserve">no testing</t>
  </si>
  <si>
    <t xml:space="preserve">cradle to farm gate</t>
  </si>
  <si>
    <t xml:space="preserve">literature data (cost and return studies)</t>
  </si>
  <si>
    <t xml:space="preserve">kg/ha</t>
  </si>
  <si>
    <t xml:space="preserve">fruits_vegetables_nuts</t>
  </si>
  <si>
    <t xml:space="preserve">Almond</t>
  </si>
  <si>
    <t xml:space="preserve">kg CO2 eq./ha*y-1</t>
  </si>
  <si>
    <t xml:space="preserve">Apple (case 1)</t>
  </si>
  <si>
    <t xml:space="preserve">comparison of variety Fuji (conventional) with varieties Golden Delicious, McIntosh, and others (organic)</t>
  </si>
  <si>
    <t xml:space="preserve">Apple (case 2)</t>
  </si>
  <si>
    <t xml:space="preserve">comparison of variety Granny Smith (conventional) with varieties Granny Smith, McIntosh, and others (organic)</t>
  </si>
  <si>
    <t xml:space="preserve">Zafiriou</t>
  </si>
  <si>
    <t xml:space="preserve">Asparagus</t>
  </si>
  <si>
    <t xml:space="preserve">Energy demand</t>
  </si>
  <si>
    <t xml:space="preserve">MJ/t</t>
  </si>
  <si>
    <t xml:space="preserve">MJ/ha*y-1</t>
  </si>
  <si>
    <t xml:space="preserve">compared were Group 1 and 3 (only non-renewable energy)</t>
  </si>
  <si>
    <t xml:space="preserve">n.s. (only differences in total energy tested)</t>
  </si>
  <si>
    <t xml:space="preserve">primary data assessed on 3 organic / 5 conventional farms </t>
  </si>
  <si>
    <t xml:space="preserve">t/ha</t>
  </si>
  <si>
    <t xml:space="preserve">Abeliotis et al.</t>
  </si>
  <si>
    <t xml:space="preserve">Bean (variety Gigantes)</t>
  </si>
  <si>
    <t xml:space="preserve">Lowland / hilly</t>
  </si>
  <si>
    <t xml:space="preserve">abiotic resource use</t>
  </si>
  <si>
    <t xml:space="preserve">kg antimony eq./kg</t>
  </si>
  <si>
    <t xml:space="preserve">kg antimony eq./ha</t>
  </si>
  <si>
    <t xml:space="preserve">several producers involved in a labbeling schemes (to derive average agricultural practice in the region under study)</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</si>
  <si>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 eq./kg</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</si>
  <si>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 eq./ha</t>
    </r>
  </si>
  <si>
    <t xml:space="preserve">Ozone depletion</t>
  </si>
  <si>
    <t xml:space="preserve">kg CFC-11 eq./kg</t>
  </si>
  <si>
    <t xml:space="preserve">kg CFC-11 eq./ha</t>
  </si>
  <si>
    <t xml:space="preserve">Human tox</t>
  </si>
  <si>
    <t xml:space="preserve">kg 1,4-DB eq./kg</t>
  </si>
  <si>
    <t xml:space="preserve">kg 1,4-DB eq./ha</t>
  </si>
  <si>
    <t xml:space="preserve">Ecotox aquatic (freshwater)</t>
  </si>
  <si>
    <t xml:space="preserve">Ecotox aquatic (marine)</t>
  </si>
  <si>
    <t xml:space="preserve">Ecotox terrestrial</t>
  </si>
  <si>
    <t xml:space="preserve">Photochemical oxidation</t>
  </si>
  <si>
    <r>
      <rPr>
        <sz val="11"/>
        <color theme="1"/>
        <rFont val="Calibri"/>
        <family val="2"/>
        <charset val="1"/>
      </rPr>
      <t xml:space="preserve">mg C</t>
    </r>
    <r>
      <rPr>
        <vertAlign val="subscript"/>
        <sz val="11"/>
        <color theme="1"/>
        <rFont val="Calibri"/>
        <family val="2"/>
        <charset val="1"/>
      </rPr>
      <t xml:space="preserve">2</t>
    </r>
    <r>
      <rPr>
        <sz val="11"/>
        <color theme="1"/>
        <rFont val="Calibri"/>
        <family val="2"/>
        <charset val="1"/>
      </rPr>
      <t xml:space="preserve">H</t>
    </r>
    <r>
      <rPr>
        <vertAlign val="subscript"/>
        <sz val="11"/>
        <color theme="1"/>
        <rFont val="Calibri"/>
        <family val="2"/>
        <charset val="1"/>
      </rPr>
      <t xml:space="preserve">4</t>
    </r>
    <r>
      <rPr>
        <sz val="11"/>
        <color theme="1"/>
        <rFont val="Calibri"/>
        <family val="2"/>
        <charset val="1"/>
      </rPr>
      <t xml:space="preserve"> eq. /kg</t>
    </r>
  </si>
  <si>
    <r>
      <rPr>
        <sz val="11"/>
        <color theme="1"/>
        <rFont val="Calibri"/>
        <family val="2"/>
        <charset val="1"/>
      </rPr>
      <t xml:space="preserve">mg C</t>
    </r>
    <r>
      <rPr>
        <vertAlign val="subscript"/>
        <sz val="11"/>
        <color theme="1"/>
        <rFont val="Calibri"/>
        <family val="2"/>
        <charset val="1"/>
      </rPr>
      <t xml:space="preserve">2</t>
    </r>
    <r>
      <rPr>
        <sz val="11"/>
        <color theme="1"/>
        <rFont val="Calibri"/>
        <family val="2"/>
        <charset val="1"/>
      </rPr>
      <t xml:space="preserve">H</t>
    </r>
    <r>
      <rPr>
        <vertAlign val="subscript"/>
        <sz val="11"/>
        <color theme="1"/>
        <rFont val="Calibri"/>
        <family val="2"/>
        <charset val="1"/>
      </rPr>
      <t xml:space="preserve">4</t>
    </r>
    <r>
      <rPr>
        <sz val="11"/>
        <color theme="1"/>
        <rFont val="Calibri"/>
        <family val="2"/>
        <charset val="1"/>
      </rPr>
      <t xml:space="preserve"> eq./ha</t>
    </r>
  </si>
  <si>
    <t xml:space="preserve">Acidification</t>
  </si>
  <si>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 eq. /kg</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</si>
  <si>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 eq./ha</t>
    </r>
  </si>
  <si>
    <t xml:space="preserve">Eutrophication</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</si>
  <si>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 eq./kg</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</si>
  <si>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 eq./ha</t>
    </r>
  </si>
  <si>
    <t xml:space="preserve">Bean (variety Plake)</t>
  </si>
  <si>
    <t xml:space="preserve">Bos</t>
  </si>
  <si>
    <t xml:space="preserve">Beans</t>
  </si>
  <si>
    <t xml:space="preserve">kg CO2 eq. / kg (DM)</t>
  </si>
  <si>
    <t xml:space="preserve">?</t>
  </si>
  <si>
    <t xml:space="preserve">Model farms for different farm types, data origin not further specified</t>
  </si>
  <si>
    <t xml:space="preserve">Blueberry</t>
  </si>
  <si>
    <t xml:space="preserve">Broccoli</t>
  </si>
  <si>
    <t xml:space="preserve">Litskas</t>
  </si>
  <si>
    <t xml:space="preserve">Cherry</t>
  </si>
  <si>
    <t xml:space="preserve">GJ/t</t>
  </si>
  <si>
    <t xml:space="preserve">GJ/ha*y-1</t>
  </si>
  <si>
    <t xml:space="preserve">P &lt; 0.05 (only differnces in total energy tested)</t>
  </si>
  <si>
    <t xml:space="preserve">primary data assessed on 10 organic / 10 conventional orchards </t>
  </si>
  <si>
    <t xml:space="preserve">Nemecek et al.</t>
  </si>
  <si>
    <t xml:space="preserve">Crop rotation: Burgrain Cash-CR</t>
  </si>
  <si>
    <t xml:space="preserve">lowland</t>
  </si>
  <si>
    <t xml:space="preserve">land use</t>
  </si>
  <si>
    <t xml:space="preserve">m2 * y / kg (DM)</t>
  </si>
  <si>
    <t xml:space="preserve">primary data from long term field trials</t>
  </si>
  <si>
    <t xml:space="preserve">kg (DM) / ha</t>
  </si>
  <si>
    <t xml:space="preserve">energy demand</t>
  </si>
  <si>
    <t xml:space="preserve">MJ/kg (DM)</t>
  </si>
  <si>
    <t xml:space="preserve">GJ/ha * y-1</t>
  </si>
  <si>
    <t xml:space="preserve">P &lt; 0.05</t>
  </si>
  <si>
    <t xml:space="preserve">kg CO2 eq. /ha * y-1</t>
  </si>
  <si>
    <t xml:space="preserve">mg C2H4 eq. / kg (DM)</t>
  </si>
  <si>
    <t xml:space="preserve">kg C2H4 eq. / ha * y-1</t>
  </si>
  <si>
    <t xml:space="preserve">n.s.</t>
  </si>
  <si>
    <t xml:space="preserve">eutrophication</t>
  </si>
  <si>
    <t xml:space="preserve">g N-equ./kg (DM)</t>
  </si>
  <si>
    <t xml:space="preserve">kg N-equ./ha * y-1</t>
  </si>
  <si>
    <t xml:space="preserve">g SO2-eq./kg (DM)</t>
  </si>
  <si>
    <t xml:space="preserve">kg SO2-equ./ha * y-1</t>
  </si>
  <si>
    <t xml:space="preserve">ecotox aquatic</t>
  </si>
  <si>
    <t xml:space="preserve">AEP / kg (DM)</t>
  </si>
  <si>
    <t xml:space="preserve">AEP /ha * y-1</t>
  </si>
  <si>
    <t xml:space="preserve">ecotox terrestrial</t>
  </si>
  <si>
    <t xml:space="preserve">TEP/kg DM</t>
  </si>
  <si>
    <t xml:space="preserve">TEP/ha * y-1</t>
  </si>
  <si>
    <t xml:space="preserve">human tox</t>
  </si>
  <si>
    <t xml:space="preserve">HTP / kg (DM)</t>
  </si>
  <si>
    <t xml:space="preserve">HTP /ha * y-1</t>
  </si>
  <si>
    <t xml:space="preserve">Crop rotation: DOC</t>
  </si>
  <si>
    <t xml:space="preserve">variant D1 compared to C2</t>
  </si>
  <si>
    <t xml:space="preserve">resource use P</t>
  </si>
  <si>
    <t xml:space="preserve">g P / kg (DM)</t>
  </si>
  <si>
    <t xml:space="preserve">kg P /ha * y-1</t>
  </si>
  <si>
    <t xml:space="preserve">resource use K</t>
  </si>
  <si>
    <t xml:space="preserve">g K / kg (DM)</t>
  </si>
  <si>
    <t xml:space="preserve">kg K /ha * y-1</t>
  </si>
  <si>
    <t xml:space="preserve">g N-eq./kg (DM)</t>
  </si>
  <si>
    <t xml:space="preserve">Kavargiris</t>
  </si>
  <si>
    <t xml:space="preserve">Grape</t>
  </si>
  <si>
    <t xml:space="preserve">primary data assessed on 9 organic / 9 conventional farms </t>
  </si>
  <si>
    <t xml:space="preserve">de Backer</t>
  </si>
  <si>
    <t xml:space="preserve">Leek</t>
  </si>
  <si>
    <t xml:space="preserve">Abiotic resource use</t>
  </si>
  <si>
    <t xml:space="preserve">kg Sb eq./kg</t>
  </si>
  <si>
    <t xml:space="preserve">kg Sb eq./ha*y-1</t>
  </si>
  <si>
    <t xml:space="preserve">primary data assessed on 1 organic / 1 conventional agricultural research institute</t>
  </si>
  <si>
    <t xml:space="preserve">kg CFC eq./kg</t>
  </si>
  <si>
    <t xml:space="preserve">kg CFC eq./ha*y-1</t>
  </si>
  <si>
    <t xml:space="preserve">Human toxicity</t>
  </si>
  <si>
    <t xml:space="preserve">kg 1,4 DB eq./kg</t>
  </si>
  <si>
    <t xml:space="preserve">kg 1,4 DB eq./ha*y-1</t>
  </si>
  <si>
    <t xml:space="preserve">Terrestrial ecotoxicity</t>
  </si>
  <si>
    <t xml:space="preserve">kg C2H4 eq./kg</t>
  </si>
  <si>
    <t xml:space="preserve">kg C2H4 eq./ha*y-1</t>
  </si>
  <si>
    <t xml:space="preserve">kg SO2 eq./kg</t>
  </si>
  <si>
    <t xml:space="preserve">kg SO2 eq./ha*y-1</t>
  </si>
  <si>
    <t xml:space="preserve">kg PO4 3- eq./kg</t>
  </si>
  <si>
    <t xml:space="preserve">kg PO4 3- eq./ha*y-1</t>
  </si>
  <si>
    <t xml:space="preserve">Lettuce</t>
  </si>
  <si>
    <t xml:space="preserve">comparison of Iceberg (conventional) with Leaf (organic)</t>
  </si>
  <si>
    <t xml:space="preserve">Williams et al.</t>
  </si>
  <si>
    <t xml:space="preserve">Oilseed rape</t>
  </si>
  <si>
    <t xml:space="preserve">ha/kg</t>
  </si>
  <si>
    <t xml:space="preserve">farm statistical data / database data / literature data / expert judgement</t>
  </si>
  <si>
    <t xml:space="preserve">MJ / kg</t>
  </si>
  <si>
    <t xml:space="preserve">MJ / ha * y-1</t>
  </si>
  <si>
    <t xml:space="preserve">kg CO2 equ./ha * y-1</t>
  </si>
  <si>
    <t xml:space="preserve">kg PO43- eq./kg</t>
  </si>
  <si>
    <t xml:space="preserve">kg PO43- equ./ha * y-1</t>
  </si>
  <si>
    <t xml:space="preserve">SO2 eq./kg</t>
  </si>
  <si>
    <t xml:space="preserve">SO2 equ./ha * y-1</t>
  </si>
  <si>
    <t xml:space="preserve">Pesticide use</t>
  </si>
  <si>
    <t xml:space="preserve">dose/kg</t>
  </si>
  <si>
    <t xml:space="preserve">dose/ha * y-1</t>
  </si>
  <si>
    <t xml:space="preserve">kg antimony equ./ha * y-1</t>
  </si>
  <si>
    <t xml:space="preserve">Juraske</t>
  </si>
  <si>
    <t xml:space="preserve">Orange</t>
  </si>
  <si>
    <t xml:space="preserve">DALY/kg</t>
  </si>
  <si>
    <t xml:space="preserve">DALY/ha*y-1</t>
  </si>
  <si>
    <t xml:space="preserve">Typical production conditions from a Spanish orange production region</t>
  </si>
  <si>
    <t xml:space="preserve">Freshwater ecotoxicity</t>
  </si>
  <si>
    <t xml:space="preserve">PAF m3 d/kg</t>
  </si>
  <si>
    <t xml:space="preserve">PAF m3 d/ha*y-1</t>
  </si>
  <si>
    <t xml:space="preserve">Pea</t>
  </si>
  <si>
    <t xml:space="preserve">Michos</t>
  </si>
  <si>
    <t xml:space="preserve">Peach</t>
  </si>
  <si>
    <t xml:space="preserve">compared were Group 1 and 3  (only non-renewable energy)</t>
  </si>
  <si>
    <t xml:space="preserve">primary data assessed on 3 organic / 4 conventional farms </t>
  </si>
  <si>
    <t xml:space="preserve">Liu</t>
  </si>
  <si>
    <t xml:space="preserve">Pear</t>
  </si>
  <si>
    <t xml:space="preserve">kg CO2 eq./t</t>
  </si>
  <si>
    <t xml:space="preserve">BJ (organic = average from two sites)</t>
  </si>
  <si>
    <t xml:space="preserve">primary data assessed on 3 organic / 2 conventional farms </t>
  </si>
  <si>
    <t xml:space="preserve">LN</t>
  </si>
  <si>
    <t xml:space="preserve">Potato</t>
  </si>
  <si>
    <t xml:space="preserve">MJ/ha * y-1</t>
  </si>
  <si>
    <t xml:space="preserve">national survey data / literature data</t>
  </si>
  <si>
    <t xml:space="preserve">kg CO2 eq./ha * y-1</t>
  </si>
  <si>
    <t xml:space="preserve">kg PO43- eq/kg</t>
  </si>
  <si>
    <t xml:space="preserve">kg PO43- eq/ha * y-1</t>
  </si>
  <si>
    <t xml:space="preserve">kg SO2 eq./ha * y-1</t>
  </si>
  <si>
    <t xml:space="preserve">dose ha/kg</t>
  </si>
  <si>
    <t xml:space="preserve">dose ha/ha * y-1</t>
  </si>
  <si>
    <t xml:space="preserve">kg antimony eq./ha * y-1</t>
  </si>
  <si>
    <t xml:space="preserve">Land use</t>
  </si>
  <si>
    <t xml:space="preserve">Raisin grape</t>
  </si>
  <si>
    <t xml:space="preserve">Grönroos et al. </t>
  </si>
  <si>
    <t xml:space="preserve">Finnland</t>
  </si>
  <si>
    <t xml:space="preserve">Rey</t>
  </si>
  <si>
    <t xml:space="preserve">primary data assessed on 1 organic and 1 conventional farm</t>
  </si>
  <si>
    <t xml:space="preserve">Knudsen</t>
  </si>
  <si>
    <t xml:space="preserve">Soybean</t>
  </si>
  <si>
    <t xml:space="preserve">ha / t</t>
  </si>
  <si>
    <t xml:space="preserve">primary data assessed on 20 organic and 15 conventional farms</t>
  </si>
  <si>
    <t xml:space="preserve">MJ / t</t>
  </si>
  <si>
    <t xml:space="preserve">kg CO2 eq. / t</t>
  </si>
  <si>
    <t xml:space="preserve">kg SO2 eq. / t</t>
  </si>
  <si>
    <t xml:space="preserve">kg NO3 eq. / t</t>
  </si>
  <si>
    <t xml:space="preserve">kg NO3 eq./ha * y-1</t>
  </si>
  <si>
    <t xml:space="preserve">Warner</t>
  </si>
  <si>
    <t xml:space="preserve">Strawberry</t>
  </si>
  <si>
    <t xml:space="preserve">compared were System 2 (SP) with System 5 (SP)</t>
  </si>
  <si>
    <t xml:space="preserve">cradle to farm gate (including on farm storage for 12 h under controlled atmosphere)</t>
  </si>
  <si>
    <t xml:space="preserve">primary data assessed on a total of 20 farms comprising 3 organic / 6 conventional strawberry production systems </t>
  </si>
  <si>
    <t xml:space="preserve">Sugar beet</t>
  </si>
  <si>
    <t xml:space="preserve">Vermeulen</t>
  </si>
  <si>
    <t xml:space="preserve">Tomato</t>
  </si>
  <si>
    <t xml:space="preserve">Emissions without CHP system</t>
  </si>
  <si>
    <t xml:space="preserve">Statistical data from the greenhouse horticulture industry</t>
  </si>
  <si>
    <t xml:space="preserve">kg/m2 * yr-1</t>
  </si>
  <si>
    <t xml:space="preserve">Williams</t>
  </si>
  <si>
    <t xml:space="preserve">kg PO43- eq/ha*y-1</t>
  </si>
  <si>
    <t xml:space="preserve">dose ha*y-1/ha*y-1</t>
  </si>
  <si>
    <t xml:space="preserve">Walnut</t>
  </si>
  <si>
    <t xml:space="preserve">comparison of variety Chandler (conventional) with variety Terminal bearing (organic)</t>
  </si>
  <si>
    <t xml:space="preserve">includes crop cooling, storage and drying</t>
  </si>
  <si>
    <t xml:space="preserve">kg CO2 equ./kg</t>
  </si>
  <si>
    <t xml:space="preserve">kg PO43- equ./kg</t>
  </si>
  <si>
    <t xml:space="preserve">Meisterling et al.</t>
  </si>
  <si>
    <t xml:space="preserve">farm statistical data / literature data</t>
  </si>
  <si>
    <t xml:space="preserve">Villanueva-Rey et al.</t>
  </si>
  <si>
    <t xml:space="preserve">Wine grape</t>
  </si>
  <si>
    <t xml:space="preserve">comparison between conventional and biodynamic production</t>
  </si>
  <si>
    <t xml:space="preserve">primary data assesed on one biodynamic and one conventional vineyard in the Ribeiro appelation</t>
  </si>
  <si>
    <t xml:space="preserve">kg CFC-11 eq./ha*y-1</t>
  </si>
  <si>
    <t xml:space="preserve">Ecotox</t>
  </si>
  <si>
    <t xml:space="preserve">CTUe/ha*y-1</t>
  </si>
  <si>
    <t xml:space="preserve">m2 * a-1/kg</t>
  </si>
  <si>
    <t xml:space="preserve">Wine grape (case 1)</t>
  </si>
  <si>
    <t xml:space="preserve">comparison of variety Chardonnay for conventional and organic</t>
  </si>
  <si>
    <t xml:space="preserve">Wine grape (case 2)</t>
  </si>
  <si>
    <t xml:space="preserve">comparison of variety Cabernet Sauvignon for conventional and organic</t>
  </si>
  <si>
    <t xml:space="preserve">mix of hill, up and low land</t>
  </si>
  <si>
    <t xml:space="preserve">mix of suckler cow and beef as by-product from milk production</t>
  </si>
  <si>
    <t xml:space="preserve">MJ/kg DW</t>
  </si>
  <si>
    <t xml:space="preserve">kg DW / 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</si>
  <si>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-equ./kg DW * y</t>
    </r>
    <r>
      <rPr>
        <vertAlign val="superscript"/>
        <sz val="11"/>
        <color theme="1"/>
        <rFont val="Calibri"/>
        <family val="2"/>
        <charset val="1"/>
      </rPr>
      <t xml:space="preserve">-1</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</si>
  <si>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-equ./ha * y-1</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</si>
  <si>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kg DW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</si>
  <si>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 * y-1</t>
    </r>
  </si>
  <si>
    <t xml:space="preserve">acidification</t>
  </si>
  <si>
    <t xml:space="preserve">kg SO2-equ./kg DW</t>
  </si>
  <si>
    <t xml:space="preserve">pesticide use</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</si>
  <si>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DW</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</si>
  <si>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ha * y-1</t>
    </r>
  </si>
  <si>
    <t xml:space="preserve">kg Sb equiv. / kg DW</t>
  </si>
  <si>
    <t xml:space="preserve">kg Sb equiv. / ha * y-1</t>
  </si>
  <si>
    <t xml:space="preserve">inludes most metals, minerals, fossil fuels and uranium for nuclear powe</t>
  </si>
  <si>
    <t xml:space="preserve">Casey &amp; Holden</t>
  </si>
  <si>
    <t xml:space="preserve">Irland</t>
  </si>
  <si>
    <t xml:space="preserve">suckler cow</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</si>
  <si>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-equ./kg LW * y</t>
    </r>
    <r>
      <rPr>
        <vertAlign val="superscript"/>
        <sz val="11"/>
        <color theme="1"/>
        <rFont val="Calibri"/>
        <family val="2"/>
        <charset val="1"/>
      </rPr>
      <t xml:space="preserve">-1</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</si>
  <si>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ha * y</t>
    </r>
    <r>
      <rPr>
        <vertAlign val="superscript"/>
        <sz val="11"/>
        <color theme="1"/>
        <rFont val="Calibri"/>
        <family val="2"/>
        <charset val="1"/>
      </rPr>
      <t xml:space="preserve">-1</t>
    </r>
  </si>
  <si>
    <t xml:space="preserve">P &lt; 0.01</t>
  </si>
  <si>
    <t xml:space="preserve">primary data assessed on 5 organic and 5 conventional farms</t>
  </si>
  <si>
    <t xml:space="preserve">kg LW / ha</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</si>
  <si>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LW</t>
    </r>
  </si>
  <si>
    <t xml:space="preserve">Alig et al.</t>
  </si>
  <si>
    <t xml:space="preserve">MJ / kg LW</t>
  </si>
  <si>
    <t xml:space="preserve">organic: 4 model farms based on data from a total of 1'216 organic farms;
conventional: 5 model farms based on data from a total of 1'838 conventional farms</t>
  </si>
  <si>
    <t xml:space="preserve">kg LW / ha * y-1</t>
  </si>
  <si>
    <t xml:space="preserve">kg CO2 equ. / kg LW</t>
  </si>
  <si>
    <t xml:space="preserve">kg CO2 equ. /ha * y-1</t>
  </si>
  <si>
    <t xml:space="preserve">Ozon vegetation</t>
  </si>
  <si>
    <t xml:space="preserve">m2.ppm.h / kg LW</t>
  </si>
  <si>
    <t xml:space="preserve">m2.ppm.h /ha * y-1</t>
  </si>
  <si>
    <t xml:space="preserve">ozon human</t>
  </si>
  <si>
    <t xml:space="preserve">person.ppm.h / kg LW</t>
  </si>
  <si>
    <t xml:space="preserve">person.ppm.h /ha * y-1</t>
  </si>
  <si>
    <t xml:space="preserve">kg / kg LW</t>
  </si>
  <si>
    <t xml:space="preserve">kg /ha * y-1</t>
  </si>
  <si>
    <t xml:space="preserve">m2*a / kg LW</t>
  </si>
  <si>
    <t xml:space="preserve">m2*a /ha * y-1</t>
  </si>
  <si>
    <t xml:space="preserve">arable land use</t>
  </si>
  <si>
    <t xml:space="preserve">m2*a / ha * y-1</t>
  </si>
  <si>
    <t xml:space="preserve">deforested land use</t>
  </si>
  <si>
    <t xml:space="preserve">m2 / kg LW</t>
  </si>
  <si>
    <t xml:space="preserve">m2 / ha * y-1</t>
  </si>
  <si>
    <t xml:space="preserve">water use</t>
  </si>
  <si>
    <t xml:space="preserve">m3 / kg LW</t>
  </si>
  <si>
    <t xml:space="preserve">m3 / ha * y-1</t>
  </si>
  <si>
    <t xml:space="preserve">eutrophication potential terrestric</t>
  </si>
  <si>
    <t xml:space="preserve">eutrophication potential aquatic N</t>
  </si>
  <si>
    <t xml:space="preserve">kg N / kg LW</t>
  </si>
  <si>
    <t xml:space="preserve">kg N / ha * y-1</t>
  </si>
  <si>
    <t xml:space="preserve">eutrophication potential aquatic P</t>
  </si>
  <si>
    <t xml:space="preserve">kg P / kg LW</t>
  </si>
  <si>
    <t xml:space="preserve">kg P / ha * y-1</t>
  </si>
  <si>
    <t xml:space="preserve">m2</t>
  </si>
  <si>
    <t xml:space="preserve">ecotox terrestrial without pesticides</t>
  </si>
  <si>
    <t xml:space="preserve">kg 1,4-DB eq. / kg LW</t>
  </si>
  <si>
    <t xml:space="preserve">kg 1,4-DB eq. / ha * y-1</t>
  </si>
  <si>
    <t xml:space="preserve">ecotox terrestrial incl. pesticides</t>
  </si>
  <si>
    <t xml:space="preserve">&lt;0.0001</t>
  </si>
  <si>
    <t xml:space="preserve">ecotox aquatic without pesticides</t>
  </si>
  <si>
    <t xml:space="preserve">ecotox aquatic incl. pesticides</t>
  </si>
  <si>
    <t xml:space="preserve">&lt;0.001</t>
  </si>
  <si>
    <t xml:space="preserve">human tox without pesticides</t>
  </si>
  <si>
    <t xml:space="preserve">kg 1,4-DB eq. /ha * y-1</t>
  </si>
  <si>
    <t xml:space="preserve">human tox incl. pesticides</t>
  </si>
  <si>
    <t xml:space="preserve">&lt;0.01</t>
  </si>
  <si>
    <t xml:space="preserve">steer production</t>
  </si>
  <si>
    <t xml:space="preserve">organic: 2 model farms based on data from a total of 602 organic farms;
conventional: 3 model farms based on data from a total of 1'155 conventional farms</t>
  </si>
  <si>
    <t xml:space="preserve">Hörtenhuber et al.</t>
  </si>
  <si>
    <t xml:space="preserve">alpine</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</si>
  <si>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kg milk</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</si>
  <si>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ha * y-1</t>
    </r>
  </si>
  <si>
    <t xml:space="preserve">standardized milk (4.1% fat / 3.5% protein)</t>
  </si>
  <si>
    <t xml:space="preserve">farm statistical data / database data / literature data</t>
  </si>
  <si>
    <t xml:space="preserve">kg milk / 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</si>
  <si>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milk</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</si>
  <si>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ha * y-1</t>
    </r>
  </si>
  <si>
    <t xml:space="preserve">up land</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</si>
  <si>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ha * y-1</t>
    </r>
  </si>
  <si>
    <t xml:space="preserve">low land</t>
  </si>
  <si>
    <t xml:space="preserve">Guerci et al.</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</si>
  <si>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kg ECM</t>
    </r>
  </si>
  <si>
    <t xml:space="preserve">Also dairy farming systems in Germany and Italy were assessed, but without a comparison of organic and conventional systems</t>
  </si>
  <si>
    <t xml:space="preserve">data from 2 organic and 3 conventional dairy farms (values in the table here represent the average over the 2 organic and the 3 conventional farms respectively)</t>
  </si>
  <si>
    <t xml:space="preserve">kg ECM / ha * y-1</t>
  </si>
  <si>
    <t xml:space="preserve">kg SO2-equ. / kg ECM</t>
  </si>
  <si>
    <t xml:space="preserve">kg SO2-equ./ ha * y-1</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</si>
  <si>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kg ECM</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</si>
  <si>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ha * y-1</t>
    </r>
  </si>
  <si>
    <t xml:space="preserve">MJ / kg ECM</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</si>
  <si>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ECM</t>
    </r>
  </si>
  <si>
    <t xml:space="preserve">Kristensen et al.</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</si>
  <si>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ECM</t>
    </r>
  </si>
  <si>
    <t xml:space="preserve">primary data assessed on 32 organic and 35 conventional farm</t>
  </si>
  <si>
    <r>
      <rPr>
        <sz val="11"/>
        <color theme="1"/>
        <rFont val="Calibri"/>
        <family val="2"/>
        <charset val="1"/>
      </rPr>
      <t xml:space="preserve">CO</t>
    </r>
    <r>
      <rPr>
        <vertAlign val="subscript"/>
        <sz val="11"/>
        <color theme="1"/>
        <rFont val="Calibri"/>
        <family val="2"/>
        <charset val="1"/>
      </rPr>
      <t xml:space="preserve">2</t>
    </r>
    <r>
      <rPr>
        <sz val="11"/>
        <color theme="1"/>
        <rFont val="Calibri"/>
        <family val="2"/>
        <charset val="1"/>
      </rPr>
      <t xml:space="preserve">-equ. / ha * y-1</t>
    </r>
  </si>
  <si>
    <r>
      <rPr>
        <sz val="11"/>
        <color theme="1"/>
        <rFont val="Calibri"/>
        <family val="2"/>
        <charset val="1"/>
      </rPr>
      <t xml:space="preserve">CO</t>
    </r>
    <r>
      <rPr>
        <vertAlign val="subscript"/>
        <sz val="11"/>
        <color theme="1"/>
        <rFont val="Calibri"/>
        <family val="2"/>
        <charset val="1"/>
      </rPr>
      <t xml:space="preserve">2</t>
    </r>
    <r>
      <rPr>
        <sz val="11"/>
        <color theme="1"/>
        <rFont val="Calibri"/>
        <family val="2"/>
        <charset val="1"/>
      </rPr>
      <t xml:space="preserve">-equ. /  ha * y-1</t>
    </r>
  </si>
  <si>
    <t xml:space="preserve">MJ / l milk</t>
  </si>
  <si>
    <t xml:space="preserve">MJ /  ha * y-1</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</si>
  <si>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 l milk</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</si>
  <si>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l milk</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</si>
  <si>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 * y-1</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</si>
  <si>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 / l milk</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</si>
  <si>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 /  ha * y-1</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</si>
  <si>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l milk</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</si>
  <si>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ha * y-1</t>
    </r>
  </si>
  <si>
    <t xml:space="preserve">kg Sb equiv. / l milk</t>
  </si>
  <si>
    <t xml:space="preserve">inludes most metals, minerals, fossil fuels and uranium for nuclear power</t>
  </si>
  <si>
    <t xml:space="preserve">allocated (according system expansion)
milk fat content 1.5%</t>
  </si>
  <si>
    <t xml:space="preserve">kg milk / ha * year-1</t>
  </si>
  <si>
    <t xml:space="preserve">no allocation
milk fat content 1.5%</t>
  </si>
  <si>
    <t xml:space="preserve">milk fat content 1.5%
88% vom Landbedarf pro l Milch on fram</t>
  </si>
  <si>
    <t xml:space="preserve">Van der Werf et al.</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</si>
  <si>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kg ECM</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</si>
  <si>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 * y-1</t>
    </r>
  </si>
  <si>
    <t xml:space="preserve">primary data assessed on 6 organic and 41 conventional farms</t>
  </si>
  <si>
    <t xml:space="preserve">kg SO2-equ./kg ECM</t>
  </si>
  <si>
    <t xml:space="preserve">ecotox (terrestrial)</t>
  </si>
  <si>
    <t xml:space="preserve">kg 1,4-DBC-eq./kg ECM</t>
  </si>
  <si>
    <t xml:space="preserve">kg 1,4-DBC-eq./ ha * y-1</t>
  </si>
  <si>
    <t xml:space="preserve">GJ/kg ECM</t>
  </si>
  <si>
    <t xml:space="preserve">GJ/ ha * y-1</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</si>
  <si>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-equ./ha</t>
    </r>
  </si>
  <si>
    <t xml:space="preserve">kg SO2-equ./ha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</si>
  <si>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/ha</t>
    </r>
  </si>
  <si>
    <t xml:space="preserve">kg 1,4-DBC-eq./ha</t>
  </si>
  <si>
    <t xml:space="preserve">Haas et al.</t>
  </si>
  <si>
    <t xml:space="preserve">MJ / kg milk</t>
  </si>
  <si>
    <t xml:space="preserve">organic compared with conventional intensive</t>
  </si>
  <si>
    <t xml:space="preserve">primary data assessed on 6 organic and 6 conventional farms</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</si>
  <si>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/kg milk</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</si>
  <si>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-equ./kg milk</t>
    </r>
  </si>
  <si>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 ha * y-1</t>
    </r>
  </si>
  <si>
    <t xml:space="preserve">P &lt; 0.04</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</si>
  <si>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-equ./kg milk</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</si>
  <si>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kg milk</t>
    </r>
  </si>
  <si>
    <t xml:space="preserve">Thomassen et al.</t>
  </si>
  <si>
    <t xml:space="preserve">Holland</t>
  </si>
  <si>
    <t xml:space="preserve">P &lt; 0.001</t>
  </si>
  <si>
    <t xml:space="preserve">primary data assessed on 11 organic and 10 conventional farms</t>
  </si>
  <si>
    <t xml:space="preserve">P &lt; 0.002</t>
  </si>
  <si>
    <r>
      <rPr>
        <sz val="11"/>
        <color theme="1"/>
        <rFont val="Calibri"/>
        <family val="2"/>
        <charset val="1"/>
      </rPr>
      <t xml:space="preserve">kg NO</t>
    </r>
    <r>
      <rPr>
        <vertAlign val="subscript"/>
        <sz val="11"/>
        <color theme="1"/>
        <rFont val="Calibri"/>
        <family val="2"/>
        <charset val="1"/>
      </rPr>
      <t xml:space="preserve">3</t>
    </r>
    <r>
      <rPr>
        <sz val="11"/>
        <color theme="1"/>
        <rFont val="Calibri"/>
        <family val="2"/>
        <charset val="1"/>
      </rPr>
      <t xml:space="preserve">-equ./kg ECM</t>
    </r>
  </si>
  <si>
    <r>
      <rPr>
        <sz val="11"/>
        <color theme="1"/>
        <rFont val="Calibri"/>
        <family val="2"/>
        <charset val="1"/>
      </rPr>
      <t xml:space="preserve">kg NO</t>
    </r>
    <r>
      <rPr>
        <vertAlign val="subscript"/>
        <sz val="11"/>
        <color theme="1"/>
        <rFont val="Calibri"/>
        <family val="2"/>
        <charset val="1"/>
      </rPr>
      <t xml:space="preserve">3</t>
    </r>
    <r>
      <rPr>
        <sz val="11"/>
        <color theme="1"/>
        <rFont val="Calibri"/>
        <family val="2"/>
        <charset val="1"/>
      </rPr>
      <t xml:space="preserve">-equ./ ha * y-1</t>
    </r>
  </si>
  <si>
    <t xml:space="preserve">P &lt; 0.003</t>
  </si>
  <si>
    <r>
      <rPr>
        <sz val="11"/>
        <color theme="1"/>
        <rFont val="Calibri"/>
        <family val="2"/>
        <charset val="1"/>
      </rPr>
      <t xml:space="preserve">kg SO</t>
    </r>
    <r>
      <rPr>
        <vertAlign val="subscript"/>
        <sz val="11"/>
        <color theme="1"/>
        <rFont val="Calibri"/>
        <family val="2"/>
        <charset val="1"/>
      </rPr>
      <t xml:space="preserve">2</t>
    </r>
    <r>
      <rPr>
        <sz val="11"/>
        <color theme="1"/>
        <rFont val="Calibri"/>
        <family val="2"/>
        <charset val="1"/>
      </rPr>
      <t xml:space="preserve">-equ./kg ECM</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</si>
  <si>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-equ. /kg ECM</t>
    </r>
  </si>
  <si>
    <t xml:space="preserve">Cederberg &amp; Flysjö</t>
  </si>
  <si>
    <t xml:space="preserve">organic compared with conventional high (&gt; 7'500 kg ECM/ha)</t>
  </si>
  <si>
    <t xml:space="preserve">primary data assessed on 6 organic and 9 conventional farms;ingredients concentrate feed: region specific statistical data, organic grain yiels estimated to be 60% of conventional yields, organic horse bean yields estimated to be 80% of conventional yields, organic oilseed rape yields estimated to be 60% of conventional yields, organic soybean yield estimated to be 70% of conventional yields, organic sugar beet yields estimated to be 80% of conventional</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</si>
  <si>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*a / kg ECM</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</si>
  <si>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*a / ha * y-1</t>
    </r>
  </si>
  <si>
    <t xml:space="preserve">primary data assessed on 6 organic and 9 conventional farms; ingredients concentrate feed: region specific statistical data, organic grain yiels estimated to be 60% of conventional yields, organic horse bean yields estimated to be 80% of conventional yields, organic oilseed rape yields estimated to be 60% of conventional yields, organic soybean yield estimated to be 70% of conventional yields, organic sugar beet yields estimated to be 80% of conventional</t>
  </si>
  <si>
    <r>
      <rPr>
        <sz val="11"/>
        <color theme="1"/>
        <rFont val="Calibri"/>
        <family val="2"/>
        <charset val="1"/>
      </rPr>
      <t xml:space="preserve">CO</t>
    </r>
    <r>
      <rPr>
        <vertAlign val="subscript"/>
        <sz val="11"/>
        <color theme="1"/>
        <rFont val="Calibri"/>
        <family val="2"/>
        <charset val="1"/>
      </rPr>
      <t xml:space="preserve">2</t>
    </r>
    <r>
      <rPr>
        <sz val="11"/>
        <color theme="1"/>
        <rFont val="Calibri"/>
        <family val="2"/>
        <charset val="1"/>
      </rPr>
      <t xml:space="preserve">-equ. / kg ECM</t>
    </r>
  </si>
  <si>
    <t xml:space="preserve">mg AI / kg ECM</t>
  </si>
  <si>
    <t xml:space="preserve">mg AI /  ha * y-1</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</si>
  <si>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ha</t>
    </r>
  </si>
  <si>
    <t xml:space="preserve">NH3 and NOx: n.s.
SO2: P &lt; 0.001</t>
  </si>
  <si>
    <t xml:space="preserve">Cederberg &amp; Mattsson</t>
  </si>
  <si>
    <r>
      <rPr>
        <sz val="11"/>
        <color theme="1"/>
        <rFont val="Calibri"/>
        <family val="2"/>
        <charset val="1"/>
      </rPr>
      <t xml:space="preserve">MJ / ha * y</t>
    </r>
    <r>
      <rPr>
        <vertAlign val="superscript"/>
        <sz val="11"/>
        <color theme="1"/>
        <rFont val="Calibri"/>
        <family val="2"/>
        <charset val="1"/>
      </rPr>
      <t xml:space="preserve">-1</t>
    </r>
  </si>
  <si>
    <t xml:space="preserve">g / kg ECM</t>
  </si>
  <si>
    <t xml:space="preserve">g / ha * y-1</t>
  </si>
  <si>
    <t xml:space="preserve">kg O2-equ./kg ECM</t>
  </si>
  <si>
    <t xml:space="preserve">kg O2-equ./ ha * y-1</t>
  </si>
  <si>
    <t xml:space="preserve">Flysjö et al.</t>
  </si>
  <si>
    <t xml:space="preserve">see Cederberg and Flysjö (2004))</t>
  </si>
  <si>
    <t xml:space="preserve">primary data assessed on 6 organic and 9 conventional farm</t>
  </si>
  <si>
    <t xml:space="preserve">pig</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</si>
  <si>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/ha * y-1</t>
    </r>
  </si>
  <si>
    <t xml:space="preserve">Basset-Mens&amp;van der Werf</t>
  </si>
  <si>
    <t xml:space="preserve">French official farm statistical data / expert judgment / data from one local feed producer</t>
  </si>
  <si>
    <t xml:space="preserve">kg CO2 equ. / ha * y-1</t>
  </si>
  <si>
    <t xml:space="preserve">eutrophication potential</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</si>
  <si>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 kg LW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</si>
  <si>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-equ /ha * y-1</t>
    </r>
  </si>
  <si>
    <t xml:space="preserve">kg SO2-equ./kg LW</t>
  </si>
  <si>
    <t xml:space="preserve">kg AI / kg LW</t>
  </si>
  <si>
    <t xml:space="preserve">kg AI /ha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</si>
  <si>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y / kg LW</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</si>
  <si>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y /ha * y-1</t>
    </r>
  </si>
  <si>
    <t xml:space="preserve">kg 1,4-DCB eq. / kg LW</t>
  </si>
  <si>
    <t xml:space="preserve">kg 1,4-DCB eq. / ha * y-1</t>
  </si>
  <si>
    <t xml:space="preserve">mix of hill and low land</t>
  </si>
  <si>
    <t xml:space="preserve">organic: 2 model farms based on data from a total of 258 organic farms;
conventional: 4 model farms based on data from a total of 5397 conventional farms</t>
  </si>
  <si>
    <t xml:space="preserve">poultry_egg production</t>
  </si>
  <si>
    <t xml:space="preserve">model farms based on data from meat industry</t>
  </si>
  <si>
    <t xml:space="preserve">kg LW/ ha * y-1</t>
  </si>
  <si>
    <t xml:space="preserve">acidification potential</t>
  </si>
  <si>
    <r>
      <rPr>
        <sz val="11"/>
        <color theme="1"/>
        <rFont val="Calibri"/>
        <family val="2"/>
        <charset val="1"/>
      </rPr>
      <t xml:space="preserve">MJ/ha * y</t>
    </r>
    <r>
      <rPr>
        <vertAlign val="superscript"/>
        <sz val="11"/>
        <color theme="1"/>
        <rFont val="Calibri"/>
        <family val="2"/>
        <charset val="1"/>
      </rPr>
      <t xml:space="preserve">-1</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</si>
  <si>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-eq./kg DW</t>
    </r>
  </si>
  <si>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-eq./ha * y</t>
    </r>
    <r>
      <rPr>
        <vertAlign val="superscript"/>
        <sz val="11"/>
        <color theme="1"/>
        <rFont val="Calibri"/>
        <family val="2"/>
        <charset val="1"/>
      </rPr>
      <t xml:space="preserve">-1</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</si>
  <si>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 kg DW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</si>
  <si>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ha * y</t>
    </r>
    <r>
      <rPr>
        <vertAlign val="superscript"/>
        <sz val="11"/>
        <color theme="1"/>
        <rFont val="Calibri"/>
        <family val="2"/>
        <charset val="1"/>
      </rPr>
      <t xml:space="preserve">-1</t>
    </r>
  </si>
  <si>
    <t xml:space="preserve">kg SO2-eq./kg DW</t>
  </si>
  <si>
    <t xml:space="preserve">kg SO2-eq./ha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</si>
  <si>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 / ha * y</t>
    </r>
    <r>
      <rPr>
        <vertAlign val="superscript"/>
        <sz val="11"/>
        <color theme="1"/>
        <rFont val="Calibri"/>
        <family val="2"/>
        <charset val="1"/>
      </rPr>
      <t xml:space="preserve">-1</t>
    </r>
  </si>
  <si>
    <t xml:space="preserve">kg Sb eq. / kg DW</t>
  </si>
  <si>
    <r>
      <rPr>
        <sz val="11"/>
        <color theme="1"/>
        <rFont val="Calibri"/>
        <family val="2"/>
        <charset val="1"/>
      </rPr>
      <t xml:space="preserve">kg Sb eq./ha * y</t>
    </r>
    <r>
      <rPr>
        <vertAlign val="superscript"/>
        <sz val="11"/>
        <color theme="1"/>
        <rFont val="Calibri"/>
        <family val="2"/>
        <charset val="1"/>
      </rPr>
      <t xml:space="preserve">-1</t>
    </r>
  </si>
  <si>
    <t xml:space="preserve">Boggia et al.</t>
  </si>
  <si>
    <t xml:space="preserve">Pt / kg poultry meat</t>
  </si>
  <si>
    <r>
      <rPr>
        <sz val="11"/>
        <color theme="1"/>
        <rFont val="Calibri"/>
        <family val="2"/>
        <charset val="1"/>
      </rPr>
      <t xml:space="preserve">Pt / ha * y</t>
    </r>
    <r>
      <rPr>
        <vertAlign val="superscript"/>
        <sz val="11"/>
        <color theme="1"/>
        <rFont val="Calibri"/>
        <family val="2"/>
        <charset val="1"/>
      </rPr>
      <t xml:space="preserve">-1</t>
    </r>
  </si>
  <si>
    <t xml:space="preserve">Pt / ha</t>
  </si>
  <si>
    <t xml:space="preserve">Acidification / Eutrophication potential</t>
  </si>
  <si>
    <t xml:space="preserve">Carcinogens</t>
  </si>
  <si>
    <t xml:space="preserve">Resp. organics</t>
  </si>
  <si>
    <t xml:space="preserve">Resp. inorganics</t>
  </si>
  <si>
    <t xml:space="preserve">Radiation</t>
  </si>
  <si>
    <t xml:space="preserve">Ozone layer depletion</t>
  </si>
  <si>
    <t xml:space="preserve">Ecotox.</t>
  </si>
  <si>
    <t xml:space="preserve">Resource use: Minerals</t>
  </si>
  <si>
    <t xml:space="preserve">Leinonen et al.</t>
  </si>
  <si>
    <t xml:space="preserve">2012a</t>
  </si>
  <si>
    <t xml:space="preserve">MJ / kg CW</t>
  </si>
  <si>
    <t xml:space="preserve">Conventional = Standard egg production</t>
  </si>
  <si>
    <t xml:space="preserve">industry data / national inventories / database data</t>
  </si>
  <si>
    <t xml:space="preserve">kg CW/ha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</si>
  <si>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-eq./kg CW</t>
    </r>
  </si>
  <si>
    <t xml:space="preserve">kg CO2-eq./ha * y-1</t>
  </si>
  <si>
    <t xml:space="preserve">Eutrophication potential</t>
  </si>
  <si>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 kg CW</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</si>
  <si>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/ha *y-1</t>
    </r>
  </si>
  <si>
    <t xml:space="preserve">Acidification potential</t>
  </si>
  <si>
    <t xml:space="preserve">kg SO2-eq./kg CW</t>
  </si>
  <si>
    <t xml:space="preserve">dose-ha/kg CW</t>
  </si>
  <si>
    <t xml:space="preserve">dose-ha/ha * y-1</t>
  </si>
  <si>
    <t xml:space="preserve">kg Sb eq. / kg CW</t>
  </si>
  <si>
    <t xml:space="preserve">kg Sb eq. /ha * y-1</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</si>
  <si>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CW</t>
    </r>
  </si>
  <si>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/ha * y-1</t>
    </r>
  </si>
  <si>
    <t xml:space="preserve">2012b</t>
  </si>
  <si>
    <t xml:space="preserve">MJ / kg eggs</t>
  </si>
  <si>
    <t xml:space="preserve">Conventional = Cage egg production</t>
  </si>
  <si>
    <t xml:space="preserve">kg eggs/ha</t>
  </si>
  <si>
    <r>
      <rPr>
        <sz val="11"/>
        <color theme="1"/>
        <rFont val="Calibri"/>
        <family val="2"/>
        <charset val="1"/>
      </rPr>
      <t xml:space="preserve">kg CO</t>
    </r>
    <r>
      <rPr>
        <vertAlign val="subscript"/>
        <sz val="11"/>
        <color theme="1"/>
        <rFont val="Calibri"/>
        <family val="2"/>
        <charset val="1"/>
      </rPr>
      <t xml:space="preserve">2</t>
    </r>
    <r>
      <rPr>
        <sz val="11"/>
        <color theme="1"/>
        <rFont val="Calibri"/>
        <family val="2"/>
        <charset val="1"/>
      </rPr>
      <t xml:space="preserve">-eq./kg eggs</t>
    </r>
  </si>
  <si>
    <r>
      <rPr>
        <sz val="11"/>
        <color theme="1"/>
        <rFont val="Calibri"/>
        <family val="2"/>
        <charset val="1"/>
      </rPr>
      <t xml:space="preserve">kg PO</t>
    </r>
    <r>
      <rPr>
        <vertAlign val="subscript"/>
        <sz val="11"/>
        <color theme="1"/>
        <rFont val="Calibri"/>
        <family val="2"/>
        <charset val="1"/>
      </rPr>
      <t xml:space="preserve">4</t>
    </r>
    <r>
      <rPr>
        <vertAlign val="superscript"/>
        <sz val="11"/>
        <color theme="1"/>
        <rFont val="Calibri"/>
        <family val="2"/>
        <charset val="1"/>
      </rPr>
      <t xml:space="preserve">3-</t>
    </r>
    <r>
      <rPr>
        <sz val="11"/>
        <color theme="1"/>
        <rFont val="Calibri"/>
        <family val="2"/>
        <charset val="1"/>
      </rPr>
      <t xml:space="preserve">-eq. / kg eggs</t>
    </r>
  </si>
  <si>
    <t xml:space="preserve">kg SO2-eq./kg eggs</t>
  </si>
  <si>
    <t xml:space="preserve">dose-ha/kg eggs</t>
  </si>
  <si>
    <t xml:space="preserve">kg Sb eq. / kg eggs</t>
  </si>
  <si>
    <r>
      <rPr>
        <sz val="11"/>
        <color theme="1"/>
        <rFont val="Calibri"/>
        <family val="2"/>
        <charset val="1"/>
      </rPr>
      <t xml:space="preserve">m</t>
    </r>
    <r>
      <rPr>
        <vertAlign val="superscript"/>
        <sz val="11"/>
        <color theme="1"/>
        <rFont val="Calibri"/>
        <family val="2"/>
        <charset val="1"/>
      </rPr>
      <t xml:space="preserve">2</t>
    </r>
    <r>
      <rPr>
        <sz val="11"/>
        <color theme="1"/>
        <rFont val="Calibri"/>
        <family val="2"/>
        <charset val="1"/>
      </rPr>
      <t xml:space="preserve">/kg eggs</t>
    </r>
  </si>
  <si>
    <t xml:space="preserve">Carbon footprint (kg CO2-eq/kg)</t>
  </si>
  <si>
    <t xml:space="preserve">Land use (m2 y/kg)</t>
  </si>
  <si>
    <t xml:space="preserve">Of which grassland (m2 y/kg)</t>
  </si>
  <si>
    <t xml:space="preserve">Beef (15 studies, n=26)</t>
  </si>
  <si>
    <t xml:space="preserve">9–129</t>
  </si>
  <si>
    <t xml:space="preserve">7–420</t>
  </si>
  <si>
    <t xml:space="preserve">2–420</t>
  </si>
  <si>
    <t xml:space="preserve">  Industrial systems (n=11)</t>
  </si>
  <si>
    <t xml:space="preserve">9–42</t>
  </si>
  <si>
    <t xml:space="preserve">15–29</t>
  </si>
  <si>
    <t xml:space="preserve">2–26</t>
  </si>
  <si>
    <t xml:space="preserve">  Meadows, suckler herds (n=8)</t>
  </si>
  <si>
    <t xml:space="preserve">23–52</t>
  </si>
  <si>
    <t xml:space="preserve">33–158</t>
  </si>
  <si>
    <t xml:space="preserve">25–140</t>
  </si>
  <si>
    <t xml:space="preserve">  Extensive pastoral systems (n=4)</t>
  </si>
  <si>
    <t xml:space="preserve">12–129</t>
  </si>
  <si>
    <t xml:space="preserve">286–420</t>
  </si>
  <si>
    <t xml:space="preserve">250–420</t>
  </si>
  <si>
    <t xml:space="preserve">  Culled dairy cows (n=3)</t>
  </si>
  <si>
    <t xml:space="preserve">9–12</t>
  </si>
  <si>
    <t xml:space="preserve">ca 5</t>
  </si>
  <si>
    <t xml:space="preserve">Pork (eight studies, n=11)</t>
  </si>
  <si>
    <t xml:space="preserve">4–11</t>
  </si>
  <si>
    <t xml:space="preserve">8–15</t>
  </si>
  <si>
    <t xml:space="preserve">pork</t>
  </si>
  <si>
    <t xml:space="preserve">Poultry (four studies, n=5)</t>
  </si>
  <si>
    <t xml:space="preserve">2–6</t>
  </si>
  <si>
    <t xml:space="preserve">5–8</t>
  </si>
  <si>
    <t xml:space="preserve">poultry</t>
  </si>
  <si>
    <t xml:space="preserve">Eggs (four studies, n=5)</t>
  </si>
  <si>
    <t xml:space="preserve">4–7</t>
  </si>
  <si>
    <t xml:space="preserve">eggs</t>
  </si>
  <si>
    <t xml:space="preserve">Mutton and Lamb (four studies, n=5)</t>
  </si>
  <si>
    <t xml:space="preserve">10–150</t>
  </si>
  <si>
    <t xml:space="preserve">20–33</t>
  </si>
  <si>
    <t xml:space="preserve">ca 18–30</t>
  </si>
  <si>
    <t xml:space="preserve">Milk (12 studies, n=14)</t>
  </si>
  <si>
    <t xml:space="preserve">1–2</t>
  </si>
  <si>
    <t xml:space="preserve">ca 1</t>
  </si>
  <si>
    <t xml:space="preserve">Cheese*</t>
  </si>
  <si>
    <t xml:space="preserve">6–22</t>
  </si>
  <si>
    <t xml:space="preserve">6–17</t>
  </si>
  <si>
    <t xml:space="preserve">ca 7</t>
  </si>
  <si>
    <t xml:space="preserve">NB: we do not use these data as they come from LCAs across whole world</t>
  </si>
  <si>
    <t xml:space="preserve">Seafood from fisheries (nine studies, n=18)</t>
  </si>
  <si>
    <t xml:space="preserve">1–86</t>
  </si>
  <si>
    <t xml:space="preserve">**</t>
  </si>
  <si>
    <t xml:space="preserve">Seafood from aquaculture*** (seven studies, n=11)</t>
  </si>
  <si>
    <t xml:space="preserve">3–15</t>
  </si>
  <si>
    <t xml:space="preserve">2–6***</t>
  </si>
  <si>
    <t xml:space="preserve">Meat substitutes containing egg or milk protein</t>
  </si>
  <si>
    <t xml:space="preserve">3–6</t>
  </si>
  <si>
    <t xml:space="preserve">1–3</t>
  </si>
  <si>
    <t xml:space="preserve">0–2</t>
  </si>
  <si>
    <t xml:space="preserve">Meat substitutes, 100% vegetal</t>
  </si>
  <si>
    <t xml:space="preserve">2–3</t>
  </si>
  <si>
    <t xml:space="preserve">Pulses, dry (two studies, n=3)</t>
  </si>
  <si>
    <t xml:space="preserve">3–8</t>
  </si>
  <si>
    <t xml:space="preserve">Impact / kg Food Balance Sheet functional unit (ex. waste)</t>
  </si>
  <si>
    <r>
      <rPr>
        <b val="true"/>
        <sz val="11"/>
        <color rgb="FF000000"/>
        <rFont val="Calibri"/>
        <family val="2"/>
        <charset val="1"/>
      </rPr>
      <t xml:space="preserve">Food, Waste and Non-Food </t>
    </r>
    <r>
      <rPr>
        <sz val="11"/>
        <color rgb="FF000000"/>
        <rFont val="Calibri"/>
        <family val="2"/>
        <charset val="1"/>
      </rPr>
      <t xml:space="preserve">('000 t, 2009-11 avg.)</t>
    </r>
  </si>
  <si>
    <t xml:space="preserve">Impact / kg Food Balance Sheet functional unit (ex. waste and non-food allocations)</t>
  </si>
  <si>
    <r>
      <rPr>
        <b val="true"/>
        <sz val="11"/>
        <color rgb="FF000000"/>
        <rFont val="Calibri"/>
        <family val="2"/>
        <charset val="1"/>
      </rPr>
      <t xml:space="preserve">Food and Waste </t>
    </r>
    <r>
      <rPr>
        <sz val="11"/>
        <color rgb="FF000000"/>
        <rFont val="Calibri"/>
        <family val="2"/>
        <charset val="1"/>
      </rPr>
      <t xml:space="preserve">('000 t, 2009-11 avg.)</t>
    </r>
  </si>
  <si>
    <r>
      <rPr>
        <b val="true"/>
        <sz val="11"/>
        <color rgb="FF000000"/>
        <rFont val="Calibri"/>
        <family val="2"/>
        <charset val="1"/>
      </rPr>
      <t xml:space="preserve">Land Use</t>
    </r>
    <r>
      <rPr>
        <sz val="11"/>
        <color rgb="FF000000"/>
        <rFont val="Calibri"/>
        <family val="2"/>
        <charset val="1"/>
      </rPr>
      <t xml:space="preserve"> (m</t>
    </r>
    <r>
      <rPr>
        <vertAlign val="superscript"/>
        <sz val="11"/>
        <color rgb="FF000000"/>
        <rFont val="Calibri"/>
        <family val="2"/>
        <charset val="1"/>
      </rPr>
      <t xml:space="preserve">2</t>
    </r>
    <r>
      <rPr>
        <sz val="11"/>
        <color rgb="FF000000"/>
        <rFont val="Calibri"/>
        <family val="2"/>
        <charset val="1"/>
      </rPr>
      <t xml:space="preserve">)</t>
    </r>
  </si>
  <si>
    <r>
      <rPr>
        <b val="true"/>
        <sz val="11"/>
        <color rgb="FF000000"/>
        <rFont val="Calibri"/>
        <family val="2"/>
        <charset val="1"/>
      </rPr>
      <t xml:space="preserve">GHG</t>
    </r>
    <r>
      <rPr>
        <sz val="11"/>
        <color rgb="FF000000"/>
        <rFont val="Calibri"/>
        <family val="2"/>
        <charset val="1"/>
      </rPr>
      <t xml:space="preserve"> (kg CO</t>
    </r>
    <r>
      <rPr>
        <vertAlign val="subscript"/>
        <sz val="11"/>
        <color rgb="FF000000"/>
        <rFont val="Calibri"/>
        <family val="2"/>
        <charset val="1"/>
      </rPr>
      <t xml:space="preserve">2</t>
    </r>
    <r>
      <rPr>
        <sz val="11"/>
        <color rgb="FF000000"/>
        <rFont val="Calibri"/>
        <family val="2"/>
        <charset val="1"/>
      </rPr>
      <t xml:space="preserve">eq, IPCC 2013)</t>
    </r>
  </si>
  <si>
    <r>
      <rPr>
        <b val="true"/>
        <sz val="11"/>
        <color rgb="FF000000"/>
        <rFont val="Calibri"/>
        <family val="2"/>
        <charset val="1"/>
      </rPr>
      <t xml:space="preserve">Acid.</t>
    </r>
    <r>
      <rPr>
        <sz val="11"/>
        <color rgb="FF000000"/>
        <rFont val="Calibri"/>
        <family val="2"/>
        <charset val="1"/>
      </rPr>
      <t xml:space="preserve">(kg SO</t>
    </r>
    <r>
      <rPr>
        <vertAlign val="subscript"/>
        <sz val="11"/>
        <color rgb="FF000000"/>
        <rFont val="Calibri"/>
        <family val="2"/>
        <charset val="1"/>
      </rPr>
      <t xml:space="preserve">2</t>
    </r>
    <r>
      <rPr>
        <sz val="11"/>
        <color rgb="FF000000"/>
        <rFont val="Calibri"/>
        <family val="2"/>
        <charset val="1"/>
      </rPr>
      <t xml:space="preserve">eq)</t>
    </r>
  </si>
  <si>
    <r>
      <rPr>
        <b val="true"/>
        <sz val="11"/>
        <color rgb="FF000000"/>
        <rFont val="Calibri"/>
        <family val="2"/>
        <charset val="1"/>
      </rPr>
      <t xml:space="preserve">Eutr.</t>
    </r>
    <r>
      <rPr>
        <sz val="11"/>
        <color rgb="FF000000"/>
        <rFont val="Calibri"/>
        <family val="2"/>
        <charset val="1"/>
      </rPr>
      <t xml:space="preserve"> (kg PO</t>
    </r>
    <r>
      <rPr>
        <vertAlign val="subscript"/>
        <sz val="11"/>
        <color rgb="FF000000"/>
        <rFont val="Calibri"/>
        <family val="2"/>
        <charset val="1"/>
      </rPr>
      <t xml:space="preserve">4</t>
    </r>
    <r>
      <rPr>
        <vertAlign val="superscript"/>
        <sz val="11"/>
        <color rgb="FF000000"/>
        <rFont val="Calibri"/>
        <family val="2"/>
        <charset val="1"/>
      </rPr>
      <t xml:space="preserve">3-</t>
    </r>
    <r>
      <rPr>
        <sz val="11"/>
        <color rgb="FF000000"/>
        <rFont val="Calibri"/>
        <family val="2"/>
        <charset val="1"/>
      </rPr>
      <t xml:space="preserve">eq)</t>
    </r>
  </si>
  <si>
    <r>
      <rPr>
        <b val="true"/>
        <sz val="11"/>
        <color rgb="FF000000"/>
        <rFont val="Calibri"/>
        <family val="2"/>
        <charset val="1"/>
      </rPr>
      <t xml:space="preserve">Freshwater</t>
    </r>
    <r>
      <rPr>
        <sz val="11"/>
        <color rgb="FF000000"/>
        <rFont val="Calibri"/>
        <family val="2"/>
        <charset val="1"/>
      </rPr>
      <t xml:space="preserve"> (L)</t>
    </r>
  </si>
  <si>
    <r>
      <rPr>
        <b val="true"/>
        <sz val="11"/>
        <color rgb="FF000000"/>
        <rFont val="Calibri"/>
        <family val="2"/>
        <charset val="1"/>
      </rPr>
      <t xml:space="preserve">Str-Wt WU</t>
    </r>
    <r>
      <rPr>
        <sz val="11"/>
        <color rgb="FF000000"/>
        <rFont val="Calibri"/>
        <family val="2"/>
        <charset val="1"/>
      </rPr>
      <t xml:space="preserve"> (L eq)</t>
    </r>
  </si>
  <si>
    <t xml:space="preserve">Arable</t>
  </si>
  <si>
    <t xml:space="preserve">Fallow</t>
  </si>
  <si>
    <t xml:space="preserve">Perm Past</t>
  </si>
  <si>
    <t xml:space="preserve">LUC</t>
  </si>
  <si>
    <t xml:space="preserve">Feed</t>
  </si>
  <si>
    <t xml:space="preserve">Farm</t>
  </si>
  <si>
    <t xml:space="preserve">Packging</t>
  </si>
  <si>
    <t xml:space="preserve">Retail</t>
  </si>
  <si>
    <t xml:space="preserve">Wheat &amp; Rye (Bread)</t>
  </si>
  <si>
    <t xml:space="preserve">Maize (Meal)</t>
  </si>
  <si>
    <t xml:space="preserve">Barley (Beer)</t>
  </si>
  <si>
    <t xml:space="preserve">Oatmeal</t>
  </si>
  <si>
    <t xml:space="preserve">Rice</t>
  </si>
  <si>
    <t xml:space="preserve">Potatoes</t>
  </si>
  <si>
    <t xml:space="preserve">Cassava</t>
  </si>
  <si>
    <t xml:space="preserve">Cane Sugar</t>
  </si>
  <si>
    <t xml:space="preserve">Beet Sugar</t>
  </si>
  <si>
    <t xml:space="preserve">Other Pulses</t>
  </si>
  <si>
    <t xml:space="preserve">Peas</t>
  </si>
  <si>
    <t xml:space="preserve">Nuts</t>
  </si>
  <si>
    <t xml:space="preserve">Groundnuts</t>
  </si>
  <si>
    <t xml:space="preserve">Soymilk</t>
  </si>
  <si>
    <t xml:space="preserve">Tofu</t>
  </si>
  <si>
    <t xml:space="preserve">Soybean Oil</t>
  </si>
  <si>
    <t xml:space="preserve">Palm Oil</t>
  </si>
  <si>
    <t xml:space="preserve">Sunflower Oil</t>
  </si>
  <si>
    <t xml:space="preserve">Rapeseed Oil</t>
  </si>
  <si>
    <t xml:space="preserve">Olive Oil</t>
  </si>
  <si>
    <t xml:space="preserve">Tomatoes</t>
  </si>
  <si>
    <t xml:space="preserve">Onions &amp; Leeks</t>
  </si>
  <si>
    <t xml:space="preserve">Root Vegetables</t>
  </si>
  <si>
    <t xml:space="preserve">Brassicas</t>
  </si>
  <si>
    <t xml:space="preserve">Other Vegetables</t>
  </si>
  <si>
    <t xml:space="preserve">Citrus Fruit</t>
  </si>
  <si>
    <t xml:space="preserve">Bananas</t>
  </si>
  <si>
    <t xml:space="preserve">Apples</t>
  </si>
  <si>
    <t xml:space="preserve">Berries &amp; Grapes</t>
  </si>
  <si>
    <t xml:space="preserve">Wine</t>
  </si>
  <si>
    <t xml:space="preserve">Other Fruit</t>
  </si>
  <si>
    <t xml:space="preserve">Coffee</t>
  </si>
  <si>
    <t xml:space="preserve">Dark Chocolate</t>
  </si>
  <si>
    <t xml:space="preserve">Bovine Meat (beef herd)</t>
  </si>
  <si>
    <t xml:space="preserve">Bovine Meat (dairy herd)</t>
  </si>
  <si>
    <t xml:space="preserve">Lamb &amp; Mutton</t>
  </si>
  <si>
    <t xml:space="preserve">Pig Meat</t>
  </si>
  <si>
    <t xml:space="preserve">Poultry Meat</t>
  </si>
  <si>
    <t xml:space="preserve">Cheese</t>
  </si>
  <si>
    <t xml:space="preserve">Fish (farmed)</t>
  </si>
  <si>
    <t xml:space="preserve">Crustaceans (farmed)</t>
  </si>
  <si>
    <t xml:space="preserve">Cereals &amp; Oilcrops Misc.</t>
  </si>
  <si>
    <t xml:space="preserve">Oils Misc.</t>
  </si>
  <si>
    <t xml:space="preserve">Sweeteners &amp; Honey</t>
  </si>
  <si>
    <t xml:space="preserve">Stimulants &amp; Spices Misc.</t>
  </si>
  <si>
    <t xml:space="preserve">Animal Fats</t>
  </si>
  <si>
    <t xml:space="preserve">Buffalo</t>
  </si>
  <si>
    <t xml:space="preserve">Butter, Cream &amp; Ghee</t>
  </si>
  <si>
    <t xml:space="preserve">Fish &amp; Crustaceans (capture)</t>
  </si>
  <si>
    <t xml:space="preserve">Aquatic Plants</t>
  </si>
  <si>
    <r>
      <rPr>
        <b val="true"/>
        <sz val="11"/>
        <color rgb="FF000000"/>
        <rFont val="Calibri"/>
        <family val="2"/>
        <charset val="1"/>
      </rPr>
      <t xml:space="preserve">Food Total</t>
    </r>
    <r>
      <rPr>
        <sz val="11"/>
        <color rgb="FF000000"/>
        <rFont val="Calibri"/>
        <family val="2"/>
        <charset val="1"/>
      </rPr>
      <t xml:space="preserve"> (M ha; Gg; km</t>
    </r>
    <r>
      <rPr>
        <vertAlign val="superscript"/>
        <sz val="11"/>
        <color rgb="FF000000"/>
        <rFont val="Calibri"/>
        <family val="2"/>
        <charset val="1"/>
      </rPr>
      <t xml:space="preserve">3</t>
    </r>
    <r>
      <rPr>
        <sz val="11"/>
        <color rgb="FF000000"/>
        <rFont val="Calibri"/>
        <family val="2"/>
        <charset val="1"/>
      </rPr>
      <t xml:space="preserve">)</t>
    </r>
  </si>
  <si>
    <t xml:space="preserve">FAOSTAT Pasture Area Difference (M ha)</t>
  </si>
  <si>
    <r>
      <rPr>
        <sz val="10"/>
        <rFont val="Arial"/>
        <family val="0"/>
        <charset val="1"/>
      </rPr>
      <t xml:space="preserve">FAOSTAT Savanna Burning (Gg CH</t>
    </r>
    <r>
      <rPr>
        <vertAlign val="subscript"/>
        <sz val="11"/>
        <color rgb="FF000000"/>
        <rFont val="Calibri"/>
        <family val="2"/>
        <charset val="1"/>
      </rPr>
      <t xml:space="preserve">4</t>
    </r>
    <r>
      <rPr>
        <sz val="11"/>
        <color rgb="FF000000"/>
        <rFont val="Calibri"/>
        <family val="2"/>
        <charset val="1"/>
      </rPr>
      <t xml:space="preserve">, N</t>
    </r>
    <r>
      <rPr>
        <vertAlign val="subscript"/>
        <sz val="11"/>
        <color rgb="FF000000"/>
        <rFont val="Calibri"/>
        <family val="2"/>
        <charset val="1"/>
      </rPr>
      <t xml:space="preserve">2</t>
    </r>
    <r>
      <rPr>
        <sz val="11"/>
        <color rgb="FF000000"/>
        <rFont val="Calibri"/>
        <family val="2"/>
        <charset val="1"/>
      </rPr>
      <t xml:space="preserve">O)</t>
    </r>
  </si>
  <si>
    <r>
      <rPr>
        <sz val="10"/>
        <rFont val="Arial"/>
        <family val="0"/>
        <charset val="1"/>
      </rPr>
      <t xml:space="preserve">EDGAR Forest and Grassland Burning (Gg SO</t>
    </r>
    <r>
      <rPr>
        <vertAlign val="subscript"/>
        <sz val="11"/>
        <color rgb="FF000000"/>
        <rFont val="Calibri"/>
        <family val="2"/>
        <charset val="1"/>
      </rPr>
      <t xml:space="preserve">2</t>
    </r>
    <r>
      <rPr>
        <sz val="11"/>
        <color rgb="FF000000"/>
        <rFont val="Calibri"/>
        <family val="2"/>
        <charset val="1"/>
      </rPr>
      <t xml:space="preserve">, NH</t>
    </r>
    <r>
      <rPr>
        <vertAlign val="subscript"/>
        <sz val="11"/>
        <color rgb="FF000000"/>
        <rFont val="Calibri"/>
        <family val="2"/>
        <charset val="1"/>
      </rPr>
      <t xml:space="preserve">3</t>
    </r>
    <r>
      <rPr>
        <sz val="11"/>
        <color rgb="FF000000"/>
        <rFont val="Calibri"/>
        <family val="2"/>
        <charset val="1"/>
      </rPr>
      <t xml:space="preserve">, NO</t>
    </r>
    <r>
      <rPr>
        <vertAlign val="subscript"/>
        <sz val="11"/>
        <color rgb="FF000000"/>
        <rFont val="Calibri"/>
        <family val="2"/>
        <charset val="1"/>
      </rPr>
      <t xml:space="preserve">x</t>
    </r>
    <r>
      <rPr>
        <sz val="11"/>
        <color rgb="FF000000"/>
        <rFont val="Calibri"/>
        <family val="2"/>
        <charset val="1"/>
      </rPr>
      <t xml:space="preserve">)</t>
    </r>
  </si>
  <si>
    <t xml:space="preserve">Adjusted Total</t>
  </si>
  <si>
    <t xml:space="preserve">Note: See ref. 129 for definitions of Food Balance Sheet functional units; table S2 for definitions of indicators; ref. 4 for FAOSTAT data; ref. 77 for EDGAR</t>
  </si>
  <si>
    <t xml:space="preserve">GHGE from Animal Products</t>
  </si>
  <si>
    <t xml:space="preserve">Enteric Fermentation (CH4)</t>
  </si>
  <si>
    <t xml:space="preserve">Manure Management (CH4)</t>
  </si>
  <si>
    <t xml:space="preserve">Aquaculture (CH4, N2O)</t>
  </si>
  <si>
    <t xml:space="preserve">Other*</t>
  </si>
  <si>
    <t xml:space="preserve">Beef (beef herd)</t>
  </si>
  <si>
    <t xml:space="preserve">&lt; 1%</t>
  </si>
  <si>
    <t xml:space="preserve"> Lamb &amp; Mutton</t>
  </si>
  <si>
    <t xml:space="preserve"> Beef (dairy herd)</t>
  </si>
  <si>
    <t xml:space="preserve"> Milk</t>
  </si>
  <si>
    <t xml:space="preserve"> Crustaceans (farmed</t>
  </si>
  <si>
    <t xml:space="preserve"> Fish (farmed)</t>
  </si>
  <si>
    <t xml:space="preserve"> Pig Meat</t>
  </si>
  <si>
    <t xml:space="preserve"> Poultry Meat</t>
  </si>
  <si>
    <t xml:space="preserve"> Eggs</t>
  </si>
  <si>
    <t xml:space="preserve">GHGE from Cereals</t>
  </si>
  <si>
    <t xml:space="preserve">Electricity &amp; Fuel</t>
  </si>
  <si>
    <t xml:space="preserve">Inputs Production</t>
  </si>
  <si>
    <t xml:space="preserve"> Direct and Indirect N2O Emissions (Synthetic Fertilizer, Organic Fertilizer, &amp; Crop Residue)</t>
  </si>
  <si>
    <t xml:space="preserve"> Other</t>
  </si>
  <si>
    <t xml:space="preserve">Drying</t>
  </si>
  <si>
    <t xml:space="preserve">Rice (flooded)</t>
  </si>
  <si>
    <t xml:space="preserve"> Oats</t>
  </si>
  <si>
    <t xml:space="preserve"> Wheat &amp; Rye</t>
  </si>
  <si>
    <t xml:space="preserve"> Maize</t>
  </si>
  <si>
    <t xml:space="preserve"> Barley</t>
  </si>
</sst>
</file>

<file path=xl/styles.xml><?xml version="1.0" encoding="utf-8"?>
<styleSheet xmlns="http://schemas.openxmlformats.org/spreadsheetml/2006/main">
  <numFmts count="8">
    <numFmt numFmtId="164" formatCode="General"/>
    <numFmt numFmtId="165" formatCode="#,##0.00"/>
    <numFmt numFmtId="166" formatCode="0.00E+00"/>
    <numFmt numFmtId="167" formatCode="@"/>
    <numFmt numFmtId="168" formatCode="0.00%"/>
    <numFmt numFmtId="169" formatCode="#,##0"/>
    <numFmt numFmtId="170" formatCode="0.0"/>
    <numFmt numFmtId="171" formatCode="0.000"/>
  </numFmts>
  <fonts count="26">
    <font>
      <sz val="11"/>
      <color rgb="FF000000"/>
      <name val="Calibri"/>
      <family val="2"/>
      <charset val="1"/>
    </font>
    <font>
      <sz val="10"/>
      <name val="Arial"/>
      <family val="0"/>
    </font>
    <font>
      <sz val="10"/>
      <name val="Arial"/>
      <family val="0"/>
    </font>
    <font>
      <sz val="10"/>
      <name val="Arial"/>
      <family val="0"/>
    </font>
    <font>
      <sz val="10"/>
      <name val="Arial"/>
      <family val="0"/>
      <charset val="1"/>
    </font>
    <font>
      <sz val="12"/>
      <name val="Arial"/>
      <family val="2"/>
      <charset val="1"/>
    </font>
    <font>
      <b val="true"/>
      <sz val="14"/>
      <name val="Arial"/>
      <family val="0"/>
      <charset val="1"/>
    </font>
    <font>
      <b val="true"/>
      <sz val="10"/>
      <name val="Arial"/>
      <family val="0"/>
      <charset val="1"/>
    </font>
    <font>
      <sz val="10"/>
      <color rgb="FF0000FF"/>
      <name val="Arial"/>
      <family val="0"/>
      <charset val="1"/>
    </font>
    <font>
      <b val="true"/>
      <sz val="24"/>
      <color theme="1"/>
      <name val="Calibri"/>
      <family val="2"/>
      <charset val="1"/>
    </font>
    <font>
      <b val="true"/>
      <sz val="11"/>
      <color theme="1"/>
      <name val="Calibri"/>
      <family val="2"/>
      <charset val="1"/>
    </font>
    <font>
      <b val="true"/>
      <sz val="11"/>
      <name val="Calibri"/>
      <family val="2"/>
      <charset val="1"/>
    </font>
    <font>
      <sz val="11"/>
      <name val="Calibri"/>
      <family val="2"/>
      <charset val="1"/>
    </font>
    <font>
      <b val="true"/>
      <sz val="11"/>
      <color rgb="FF000000"/>
      <name val="Calibri"/>
      <family val="2"/>
      <charset val="1"/>
    </font>
    <font>
      <sz val="11"/>
      <color rgb="FF969696"/>
      <name val="Calibri"/>
      <family val="2"/>
      <charset val="1"/>
    </font>
    <font>
      <b val="true"/>
      <i val="true"/>
      <sz val="11"/>
      <color rgb="FF000000"/>
      <name val="Calibri"/>
      <family val="2"/>
      <charset val="1"/>
    </font>
    <font>
      <b val="true"/>
      <sz val="12"/>
      <name val="Arial"/>
      <family val="0"/>
      <charset val="1"/>
    </font>
    <font>
      <sz val="9"/>
      <name val="Myriad Hebrew Bold"/>
      <family val="0"/>
      <charset val="1"/>
    </font>
    <font>
      <sz val="9"/>
      <name val="Times New Roman"/>
      <family val="0"/>
      <charset val="1"/>
    </font>
    <font>
      <sz val="9"/>
      <color rgb="FF000053"/>
      <name val="Times New Roman"/>
      <family val="0"/>
      <charset val="1"/>
    </font>
    <font>
      <sz val="11"/>
      <color theme="1"/>
      <name val="Calibri"/>
      <family val="2"/>
      <charset val="1"/>
    </font>
    <font>
      <vertAlign val="subscript"/>
      <sz val="11"/>
      <color theme="1"/>
      <name val="Calibri"/>
      <family val="2"/>
      <charset val="1"/>
    </font>
    <font>
      <vertAlign val="superscript"/>
      <sz val="11"/>
      <color theme="1"/>
      <name val="Calibri"/>
      <family val="2"/>
      <charset val="1"/>
    </font>
    <font>
      <vertAlign val="superscript"/>
      <sz val="11"/>
      <color rgb="FF000000"/>
      <name val="Calibri"/>
      <family val="2"/>
      <charset val="1"/>
    </font>
    <font>
      <vertAlign val="subscript"/>
      <sz val="11"/>
      <color rgb="FF000000"/>
      <name val="Calibri"/>
      <family val="2"/>
      <charset val="1"/>
    </font>
    <font>
      <b val="true"/>
      <i val="true"/>
      <sz val="10"/>
      <color rgb="FF000000"/>
      <name val="Calibri"/>
      <family val="2"/>
      <charset val="1"/>
    </font>
  </fonts>
  <fills count="6">
    <fill>
      <patternFill patternType="none"/>
    </fill>
    <fill>
      <patternFill patternType="gray125"/>
    </fill>
    <fill>
      <patternFill patternType="solid">
        <fgColor theme="0"/>
        <bgColor rgb="FFFFFFCC"/>
      </patternFill>
    </fill>
    <fill>
      <patternFill patternType="solid">
        <fgColor rgb="FFFFCC00"/>
        <bgColor rgb="FFFFFF00"/>
      </patternFill>
    </fill>
    <fill>
      <patternFill patternType="solid">
        <fgColor rgb="FFFAED90"/>
        <bgColor rgb="FFFFFFCC"/>
      </patternFill>
    </fill>
    <fill>
      <patternFill patternType="solid">
        <fgColor rgb="FFC0C0C0"/>
        <bgColor rgb="FFCCCCFF"/>
      </patternFill>
    </fill>
  </fills>
  <borders count="15">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dashed"/>
      <right/>
      <top/>
      <bottom style="thin"/>
      <diagonal/>
    </border>
    <border diagonalUp="false" diagonalDown="false">
      <left/>
      <right style="dashed"/>
      <top/>
      <bottom style="thin"/>
      <diagonal/>
    </border>
    <border diagonalUp="false" diagonalDown="false">
      <left style="dashed"/>
      <right style="dashed"/>
      <top/>
      <bottom style="thin"/>
      <diagonal/>
    </border>
    <border diagonalUp="false" diagonalDown="false">
      <left style="dashed"/>
      <right/>
      <top style="thin"/>
      <bottom style="thin"/>
      <diagonal/>
    </border>
    <border diagonalUp="false" diagonalDown="false">
      <left/>
      <right/>
      <top style="thin"/>
      <bottom style="thin"/>
      <diagonal/>
    </border>
    <border diagonalUp="false" diagonalDown="false">
      <left/>
      <right style="dashed"/>
      <top style="thin"/>
      <bottom style="thin"/>
      <diagonal/>
    </border>
    <border diagonalUp="false" diagonalDown="false">
      <left style="dashed"/>
      <right style="dashed"/>
      <top style="thin"/>
      <bottom style="thin"/>
      <diagonal/>
    </border>
    <border diagonalUp="false" diagonalDown="false">
      <left style="dashed"/>
      <right/>
      <top/>
      <bottom/>
      <diagonal/>
    </border>
    <border diagonalUp="false" diagonalDown="false">
      <left/>
      <right style="dashed"/>
      <top/>
      <bottom/>
      <diagonal/>
    </border>
    <border diagonalUp="false" diagonalDown="false">
      <left style="dashed"/>
      <right style="dashed"/>
      <top/>
      <bottom/>
      <diagonal/>
    </border>
    <border diagonalUp="false" diagonalDown="false">
      <left/>
      <right/>
      <top style="thin"/>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tru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right"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5" fontId="4" fillId="0" borderId="0" xfId="0" applyFont="true" applyBorder="false" applyAlignment="true" applyProtection="true">
      <alignment horizontal="right"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9" fillId="2" borderId="1" xfId="0" applyFont="true" applyBorder="true" applyAlignment="true" applyProtection="true">
      <alignment horizontal="center" vertical="center" textRotation="0" wrapText="true" indent="0" shrinkToFit="false"/>
      <protection locked="true" hidden="false"/>
    </xf>
    <xf numFmtId="164" fontId="10" fillId="3" borderId="2" xfId="0" applyFont="true" applyBorder="true" applyAlignment="true" applyProtection="true">
      <alignment horizontal="center" vertical="center" textRotation="0" wrapText="true" indent="0" shrinkToFit="false"/>
      <protection locked="true" hidden="false"/>
    </xf>
    <xf numFmtId="164" fontId="10" fillId="4" borderId="2" xfId="0" applyFont="true" applyBorder="true" applyAlignment="true" applyProtection="true">
      <alignment horizontal="center" vertical="center" textRotation="0" wrapText="true" indent="0" shrinkToFit="false"/>
      <protection locked="true" hidden="false"/>
    </xf>
    <xf numFmtId="164" fontId="11" fillId="3" borderId="2" xfId="0" applyFont="true" applyBorder="true" applyAlignment="true" applyProtection="true">
      <alignment horizontal="center" vertical="center" textRotation="0" wrapText="true" indent="0" shrinkToFit="false"/>
      <protection locked="true" hidden="false"/>
    </xf>
    <xf numFmtId="164" fontId="10" fillId="3" borderId="3" xfId="0" applyFont="true" applyBorder="true" applyAlignment="true" applyProtection="true">
      <alignment horizontal="center" vertical="center" textRotation="0" wrapText="true" indent="0" shrinkToFit="false"/>
      <protection locked="true" hidden="false"/>
    </xf>
    <xf numFmtId="164" fontId="4" fillId="3" borderId="2" xfId="0" applyFont="true" applyBorder="true" applyAlignment="true" applyProtection="true">
      <alignment horizontal="center" vertical="center" textRotation="0" wrapText="tru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12" fillId="0" borderId="2" xfId="0" applyFont="true" applyBorder="true" applyAlignment="true" applyProtection="true">
      <alignment horizontal="general" vertical="center" textRotation="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general" vertical="bottom" textRotation="0" wrapText="false" indent="0" shrinkToFit="false"/>
      <protection locked="true" hidden="false"/>
    </xf>
    <xf numFmtId="166" fontId="0" fillId="0" borderId="2"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center" textRotation="0" wrapText="false" indent="0" shrinkToFit="false"/>
      <protection locked="true" hidden="false"/>
    </xf>
    <xf numFmtId="166" fontId="0" fillId="0" borderId="2"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4" fillId="5"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right" vertical="bottom" textRotation="0" wrapText="true" indent="0" shrinkToFit="false"/>
      <protection locked="true" hidden="false"/>
    </xf>
    <xf numFmtId="164" fontId="0" fillId="5" borderId="0" xfId="0" applyFont="fals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8" fontId="0" fillId="0" borderId="0" xfId="0" applyFont="false" applyBorder="false" applyAlignment="true" applyProtection="true">
      <alignment horizontal="right"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tru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8" fontId="15"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5" fontId="16"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7" fillId="0" borderId="0" xfId="0" applyFont="true" applyBorder="false" applyAlignment="true" applyProtection="tru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13" fillId="0" borderId="4" xfId="0" applyFont="true" applyBorder="true" applyAlignment="true" applyProtection="true">
      <alignment horizontal="general" vertical="center" textRotation="0" wrapText="false" indent="0" shrinkToFit="false"/>
      <protection locked="true" hidden="false"/>
    </xf>
    <xf numFmtId="164" fontId="13" fillId="0" borderId="1" xfId="0" applyFont="true" applyBorder="true" applyAlignment="true" applyProtection="true">
      <alignment horizontal="general" vertical="center" textRotation="0" wrapText="false" indent="0" shrinkToFit="false"/>
      <protection locked="true" hidden="false"/>
    </xf>
    <xf numFmtId="164" fontId="13" fillId="0" borderId="5" xfId="0" applyFont="true" applyBorder="true" applyAlignment="true" applyProtection="true">
      <alignment horizontal="general" vertical="center" textRotation="0" wrapText="false" indent="0" shrinkToFit="false"/>
      <protection locked="true" hidden="false"/>
    </xf>
    <xf numFmtId="164" fontId="13" fillId="0" borderId="6" xfId="0" applyFont="true" applyBorder="true" applyAlignment="true" applyProtection="true">
      <alignment horizontal="center" vertical="center" textRotation="0" wrapText="true" indent="0" shrinkToFit="false"/>
      <protection locked="true" hidden="false"/>
    </xf>
    <xf numFmtId="164" fontId="13" fillId="0" borderId="1" xfId="0" applyFont="true" applyBorder="true" applyAlignment="true" applyProtection="true">
      <alignment horizontal="center" vertical="center" textRotation="0" wrapText="true" indent="0" shrinkToFit="false"/>
      <protection locked="true" hidden="false"/>
    </xf>
    <xf numFmtId="164" fontId="13" fillId="0" borderId="7" xfId="0" applyFont="true" applyBorder="true" applyAlignment="true" applyProtection="true">
      <alignment horizontal="general" vertical="center" textRotation="0" wrapText="false" indent="0" shrinkToFit="false"/>
      <protection locked="true" hidden="false"/>
    </xf>
    <xf numFmtId="164" fontId="0" fillId="0" borderId="8" xfId="0" applyFont="false" applyBorder="true" applyAlignment="true" applyProtection="true">
      <alignment horizontal="general" vertical="center" textRotation="0" wrapText="fals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true" hidden="false"/>
    </xf>
    <xf numFmtId="164" fontId="13" fillId="0" borderId="8" xfId="0" applyFont="true" applyBorder="true" applyAlignment="true" applyProtection="true">
      <alignment horizontal="general" vertical="center" textRotation="0" wrapText="false" indent="0" shrinkToFit="false"/>
      <protection locked="true" hidden="false"/>
    </xf>
    <xf numFmtId="164" fontId="13" fillId="0" borderId="10" xfId="0" applyFont="true" applyBorder="true" applyAlignment="true" applyProtection="true">
      <alignment horizontal="general" vertical="center" textRotation="0" wrapText="false" indent="0" shrinkToFit="false"/>
      <protection locked="true" hidden="false"/>
    </xf>
    <xf numFmtId="164" fontId="4" fillId="0" borderId="7" xfId="0" applyFont="true" applyBorder="true" applyAlignment="true" applyProtection="true">
      <alignment horizontal="left" vertical="center" textRotation="0" wrapText="false" indent="0" shrinkToFit="false"/>
      <protection locked="true" hidden="false"/>
    </xf>
    <xf numFmtId="164" fontId="4" fillId="0" borderId="8" xfId="0" applyFont="true" applyBorder="true" applyAlignment="true" applyProtection="true">
      <alignment horizontal="left" vertical="center" textRotation="0" wrapText="false" indent="0" shrinkToFit="false"/>
      <protection locked="true" hidden="false"/>
    </xf>
    <xf numFmtId="164" fontId="4" fillId="0" borderId="9" xfId="0" applyFont="true" applyBorder="true" applyAlignment="true" applyProtection="true">
      <alignment horizontal="left" vertical="center" textRotation="0" wrapText="false" indent="0" shrinkToFit="false"/>
      <protection locked="true" hidden="false"/>
    </xf>
    <xf numFmtId="164" fontId="4" fillId="0" borderId="10" xfId="0" applyFont="true" applyBorder="true" applyAlignment="true" applyProtection="true">
      <alignment horizontal="left" vertical="center" textRotation="0" wrapText="false" indent="0" shrinkToFit="false"/>
      <protection locked="true" hidden="false"/>
    </xf>
    <xf numFmtId="169" fontId="0" fillId="0" borderId="0" xfId="0" applyFont="false" applyBorder="false" applyAlignment="true" applyProtection="true">
      <alignment horizontal="general" vertical="center" textRotation="0" wrapText="false" indent="0" shrinkToFit="false"/>
      <protection locked="true" hidden="false"/>
    </xf>
    <xf numFmtId="170" fontId="0" fillId="0" borderId="11" xfId="0" applyFont="false" applyBorder="true" applyAlignment="true" applyProtection="true">
      <alignment horizontal="general" vertical="center" textRotation="0" wrapText="false" indent="0" shrinkToFit="false"/>
      <protection locked="true" hidden="false"/>
    </xf>
    <xf numFmtId="170" fontId="0" fillId="0" borderId="0" xfId="0" applyFont="false" applyBorder="true" applyAlignment="true" applyProtection="true">
      <alignment horizontal="general" vertical="center" textRotation="0" wrapText="false" indent="0" shrinkToFit="false"/>
      <protection locked="true" hidden="false"/>
    </xf>
    <xf numFmtId="170" fontId="0" fillId="0" borderId="12" xfId="0" applyFont="false" applyBorder="true" applyAlignment="true" applyProtection="true">
      <alignment horizontal="general" vertical="center" textRotation="0" wrapText="false" indent="0" shrinkToFit="false"/>
      <protection locked="true" hidden="false"/>
    </xf>
    <xf numFmtId="170" fontId="0" fillId="0" borderId="0" xfId="0" applyFont="false" applyBorder="false" applyAlignment="true" applyProtection="true">
      <alignment horizontal="general" vertical="center" textRotation="0" wrapText="false" indent="0" shrinkToFit="false"/>
      <protection locked="true" hidden="false"/>
    </xf>
    <xf numFmtId="171" fontId="0" fillId="0" borderId="13" xfId="0" applyFont="false" applyBorder="true" applyAlignment="true" applyProtection="true">
      <alignment horizontal="general" vertical="center" textRotation="0" wrapText="false" indent="0" shrinkToFit="false"/>
      <protection locked="true" hidden="false"/>
    </xf>
    <xf numFmtId="169" fontId="0" fillId="0" borderId="13" xfId="0" applyFont="false" applyBorder="true" applyAlignment="true" applyProtection="true">
      <alignment horizontal="general" vertical="center" textRotation="0" wrapText="false" indent="0" shrinkToFit="false"/>
      <protection locked="true" hidden="false"/>
    </xf>
    <xf numFmtId="171" fontId="0" fillId="0" borderId="0" xfId="0" applyFont="false" applyBorder="fals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center" textRotation="0" wrapText="false" indent="0" shrinkToFit="false"/>
      <protection locked="true" hidden="false"/>
    </xf>
    <xf numFmtId="164" fontId="0" fillId="0" borderId="13" xfId="0" applyFont="false" applyBorder="true" applyAlignment="true" applyProtection="true">
      <alignment horizontal="general" vertical="center" textRotation="0" wrapText="false" indent="0" shrinkToFit="false"/>
      <protection locked="true" hidden="false"/>
    </xf>
    <xf numFmtId="164" fontId="0" fillId="0" borderId="13" xfId="0" applyFont="false" applyBorder="true" applyAlignment="true" applyProtection="true">
      <alignment horizontal="general" vertical="bottom" textRotation="0" wrapText="false" indent="0" shrinkToFit="false"/>
      <protection locked="true" hidden="false"/>
    </xf>
    <xf numFmtId="164" fontId="13" fillId="0" borderId="9" xfId="0" applyFont="true" applyBorder="true" applyAlignment="true" applyProtection="true">
      <alignment horizontal="general" vertical="center" textRotation="0" wrapText="false" indent="0" shrinkToFit="false"/>
      <protection locked="true" hidden="false"/>
    </xf>
    <xf numFmtId="169" fontId="13" fillId="0" borderId="8" xfId="0" applyFont="true" applyBorder="true" applyAlignment="true" applyProtection="true">
      <alignment horizontal="general" vertical="center" textRotation="0" wrapText="false" indent="0" shrinkToFit="false"/>
      <protection locked="true" hidden="false"/>
    </xf>
    <xf numFmtId="169" fontId="13" fillId="0" borderId="9" xfId="0" applyFont="true" applyBorder="true" applyAlignment="true" applyProtection="true">
      <alignment horizontal="general" vertical="center" textRotation="0" wrapText="false" indent="0" shrinkToFit="false"/>
      <protection locked="true" hidden="false"/>
    </xf>
    <xf numFmtId="169" fontId="13" fillId="0" borderId="10" xfId="0" applyFont="true" applyBorder="true" applyAlignment="true" applyProtection="true">
      <alignment horizontal="general" vertical="center" textRotation="0" wrapText="false" indent="0" shrinkToFit="false"/>
      <protection locked="true" hidden="false"/>
    </xf>
    <xf numFmtId="169" fontId="0" fillId="0" borderId="0" xfId="0" applyFont="true" applyBorder="false" applyAlignment="true" applyProtection="true">
      <alignment horizontal="general" vertical="center" textRotation="0" wrapText="false" indent="0" shrinkToFit="false"/>
      <protection locked="true" hidden="false"/>
    </xf>
    <xf numFmtId="164" fontId="25" fillId="0" borderId="14" xfId="0" applyFont="true" applyBorder="true" applyAlignment="true" applyProtection="true">
      <alignment horizontal="left" vertical="top" textRotation="0" wrapText="true" indent="0" shrinkToFit="false"/>
      <protection locked="true" hidden="false"/>
    </xf>
    <xf numFmtId="164" fontId="25" fillId="0" borderId="0" xfId="0" applyFont="true" applyBorder="true" applyAlignment="true" applyProtection="true">
      <alignment horizontal="general" vertical="top" textRotation="0" wrapText="true" indent="0" shrinkToFit="false"/>
      <protection locked="true" hidden="false"/>
    </xf>
    <xf numFmtId="168" fontId="4" fillId="0" borderId="0" xfId="0" applyFont="true" applyBorder="false" applyAlignment="true" applyProtection="true">
      <alignment horizontal="left" vertical="bottom"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53"/>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AED90"/>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externalLink" Target="externalLinks/externalLink1.xml"/><Relationship Id="rId2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stephenclune/Library/Application%20Support/Microsoft/Office/Office%202011%20AutoRecovery/new_studies_to_add/BCFN-DATABASE-FOR-DOUBLE-PYRAMID-2014-DEF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ABASE"/>
      <sheetName val="Cover"/>
    </sheetNames>
    <sheetDataSet>
      <sheetData sheetId="0"/>
      <sheetData sheetId="1"/>
    </sheetDataSet>
  </externalBook>
</externalLink>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oi.org/10.1080/09712119.2002.9706374" TargetMode="External"/><Relationship Id="rId2" Type="http://schemas.openxmlformats.org/officeDocument/2006/relationships/hyperlink" Target="https://doi.org/10.1515/jafio-2019-0037" TargetMode="External"/><Relationship Id="rId3" Type="http://schemas.openxmlformats.org/officeDocument/2006/relationships/hyperlink" Target="https://doi.org/10.1016/j.anifeedsci.2011.04.058" TargetMode="External"/><Relationship Id="rId4" Type="http://schemas.openxmlformats.org/officeDocument/2006/relationships/hyperlink" Target="https://doi.org/10.57745/XTENSJ" TargetMode="External"/><Relationship Id="rId5" Type="http://schemas.openxmlformats.org/officeDocument/2006/relationships/hyperlink" Target="https://doi.org/10.1038/s43016-025-01212-0" TargetMode="External"/><Relationship Id="rId6" Type="http://schemas.openxmlformats.org/officeDocument/2006/relationships/hyperlink" Target="https://doi.org/10.1515/jafio-2019-0037" TargetMode="External"/><Relationship Id="rId7" Type="http://schemas.openxmlformats.org/officeDocument/2006/relationships/hyperlink" Target="https://doi.org/10.1016/j.jclepro.2022.134937" TargetMode="External"/><Relationship Id="rId8" Type="http://schemas.openxmlformats.org/officeDocument/2006/relationships/hyperlink" Target="https://doi.org/10.1016/j.jclepro.2016.04.082" TargetMode="External"/><Relationship Id="rId9" Type="http://schemas.openxmlformats.org/officeDocument/2006/relationships/hyperlink" Target="https://doi.org/10.1016/j.anifeedsci.2011.04.058" TargetMode="External"/><Relationship Id="rId10" Type="http://schemas.openxmlformats.org/officeDocument/2006/relationships/hyperlink" Target="https://doi.org/10.1016/j.jenvman.2014.10.006" TargetMode="External"/><Relationship Id="rId11" Type="http://schemas.openxmlformats.org/officeDocument/2006/relationships/hyperlink" Target="https://doi.org/10.1016/j.foodpol.2012.08.002" TargetMode="External"/><Relationship Id="rId12" Type="http://schemas.openxmlformats.org/officeDocument/2006/relationships/hyperlink" Target="https://doi.org/10.1126/science.aaq0216" TargetMode="External"/><Relationship Id="rId13" Type="http://schemas.openxmlformats.org/officeDocument/2006/relationships/hyperlink" Target="https://doi.org/10.1126/science.aaq0216" TargetMode="External"/><Relationship Id="rId14" Type="http://schemas.openxmlformats.org/officeDocument/2006/relationships/hyperlink" Target="https://doi.org/10.1126/science.aaq0216" TargetMode="External"/><Relationship Id="rId15" Type="http://schemas.openxmlformats.org/officeDocument/2006/relationships/hyperlink" Target="https://doi.org/10.1016/j.jclepro.2018.05.188" TargetMode="External"/><Relationship Id="rId16" Type="http://schemas.openxmlformats.org/officeDocument/2006/relationships/hyperlink" Target="https://doi.org/10.1016/j.jclepro.2018.05.188" TargetMode="External"/><Relationship Id="rId17" Type="http://schemas.openxmlformats.org/officeDocument/2006/relationships/hyperlink" Target="https://doi.org/10.1016/j.jclepro.2018.05.188" TargetMode="External"/><Relationship Id="rId18" Type="http://schemas.openxmlformats.org/officeDocument/2006/relationships/hyperlink" Target="https://doi.org/10.1016/j.jclepro.2018.05.188" TargetMode="External"/><Relationship Id="rId19" Type="http://schemas.openxmlformats.org/officeDocument/2006/relationships/hyperlink" Target="https://doi.org/10.1016/j.jclepro.2018.05.188"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2.xml.rels><?xml version="1.0" encoding="UTF-8"?>
<Relationships xmlns="http://schemas.openxmlformats.org/package/2006/relationships"><Relationship Id="rId1" Type="http://schemas.openxmlformats.org/officeDocument/2006/relationships/drawing" Target="../drawings/drawing4.xml"/>
</Relationships>
</file>

<file path=xl/worksheets/_rels/sheet14.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8576"/>
  <sheetViews>
    <sheetView showFormulas="false" showGridLines="true" showRowColHeaders="true" showZeros="true" rightToLeft="false" tabSelected="false" showOutlineSymbols="true" defaultGridColor="true" view="normal" topLeftCell="A7" colorId="64" zoomScale="65" zoomScaleNormal="65" zoomScalePageLayoutView="100" workbookViewId="0">
      <selection pane="topLeft" activeCell="E21" activeCellId="0" sqref="E21"/>
    </sheetView>
  </sheetViews>
  <sheetFormatPr defaultColWidth="11.53515625" defaultRowHeight="13.8" zeroHeight="false" outlineLevelRow="0" outlineLevelCol="0"/>
  <cols>
    <col collapsed="false" customWidth="true" hidden="false" outlineLevel="0" max="1" min="1" style="1" width="28.5"/>
    <col collapsed="false" customWidth="true" hidden="false" outlineLevel="0" max="2" min="2" style="1" width="29.71"/>
    <col collapsed="false" customWidth="true" hidden="false" outlineLevel="0" max="3" min="3" style="1" width="69.23"/>
    <col collapsed="false" customWidth="true" hidden="false" outlineLevel="0" max="4" min="4" style="1" width="16.07"/>
    <col collapsed="false" customWidth="true" hidden="false" outlineLevel="0" max="5" min="5" style="1" width="119.48"/>
    <col collapsed="false" customWidth="false" hidden="false" outlineLevel="0" max="16384" min="6" style="1" width="11.53"/>
  </cols>
  <sheetData>
    <row r="1" customFormat="false" ht="17.5" hidden="false" customHeight="true" outlineLevel="0" collapsed="false">
      <c r="A1" s="2" t="s">
        <v>0</v>
      </c>
      <c r="B1" s="2"/>
      <c r="C1" s="2"/>
      <c r="D1" s="2"/>
      <c r="E1" s="2"/>
    </row>
    <row r="3" customFormat="false" ht="13.8" hidden="false" customHeight="false" outlineLevel="0" collapsed="false">
      <c r="A3" s="3" t="s">
        <v>1</v>
      </c>
      <c r="B3" s="3" t="s">
        <v>2</v>
      </c>
      <c r="C3" s="3" t="s">
        <v>3</v>
      </c>
      <c r="D3" s="3" t="s">
        <v>4</v>
      </c>
      <c r="E3" s="3" t="s">
        <v>5</v>
      </c>
    </row>
    <row r="4" customFormat="false" ht="24" hidden="false" customHeight="false" outlineLevel="0" collapsed="false">
      <c r="A4" s="3" t="s">
        <v>6</v>
      </c>
      <c r="B4" s="3"/>
      <c r="C4" s="3"/>
      <c r="D4" s="3" t="s">
        <v>7</v>
      </c>
      <c r="E4" s="3" t="s">
        <v>8</v>
      </c>
    </row>
    <row r="5" customFormat="false" ht="24" hidden="false" customHeight="false" outlineLevel="0" collapsed="false">
      <c r="A5" s="3" t="s">
        <v>9</v>
      </c>
      <c r="B5" s="3"/>
      <c r="C5" s="3"/>
      <c r="D5" s="3" t="s">
        <v>7</v>
      </c>
      <c r="E5" s="3" t="s">
        <v>10</v>
      </c>
    </row>
    <row r="6" customFormat="false" ht="13.8" hidden="false" customHeight="false" outlineLevel="0" collapsed="false">
      <c r="A6" s="4" t="s">
        <v>11</v>
      </c>
      <c r="B6" s="5" t="s">
        <v>12</v>
      </c>
      <c r="C6" s="5" t="s">
        <v>13</v>
      </c>
    </row>
    <row r="7" customFormat="false" ht="13.8" hidden="false" customHeight="false" outlineLevel="0" collapsed="false">
      <c r="A7" s="4" t="s">
        <v>11</v>
      </c>
      <c r="B7" s="6" t="s">
        <v>14</v>
      </c>
      <c r="C7" s="7" t="s">
        <v>15</v>
      </c>
    </row>
    <row r="8" customFormat="false" ht="13.8" hidden="false" customHeight="false" outlineLevel="0" collapsed="false">
      <c r="A8" s="4" t="s">
        <v>11</v>
      </c>
      <c r="B8" s="6" t="s">
        <v>16</v>
      </c>
      <c r="C8" s="7" t="s">
        <v>17</v>
      </c>
    </row>
    <row r="9" customFormat="false" ht="13.8" hidden="false" customHeight="false" outlineLevel="0" collapsed="false">
      <c r="A9" s="4" t="s">
        <v>11</v>
      </c>
      <c r="B9" s="6" t="s">
        <v>18</v>
      </c>
      <c r="C9" s="8" t="s">
        <v>19</v>
      </c>
    </row>
    <row r="10" customFormat="false" ht="13.8" hidden="false" customHeight="false" outlineLevel="0" collapsed="false">
      <c r="A10" s="4" t="s">
        <v>11</v>
      </c>
      <c r="B10" s="8" t="s">
        <v>20</v>
      </c>
      <c r="C10" s="7" t="s">
        <v>21</v>
      </c>
      <c r="D10" s="4" t="s">
        <v>22</v>
      </c>
      <c r="E10" s="5" t="s">
        <v>23</v>
      </c>
    </row>
    <row r="11" customFormat="false" ht="46" hidden="false" customHeight="false" outlineLevel="0" collapsed="false">
      <c r="A11" s="5" t="s">
        <v>24</v>
      </c>
      <c r="B11" s="5" t="s">
        <v>25</v>
      </c>
      <c r="C11" s="5" t="s">
        <v>26</v>
      </c>
      <c r="D11" s="5" t="s">
        <v>27</v>
      </c>
      <c r="E11" s="5" t="s">
        <v>28</v>
      </c>
    </row>
    <row r="12" customFormat="false" ht="46" hidden="false" customHeight="false" outlineLevel="0" collapsed="false">
      <c r="A12" s="5" t="s">
        <v>29</v>
      </c>
      <c r="B12" s="5" t="s">
        <v>30</v>
      </c>
      <c r="C12" s="7" t="s">
        <v>31</v>
      </c>
      <c r="D12" s="5" t="s">
        <v>32</v>
      </c>
      <c r="E12" s="5" t="s">
        <v>33</v>
      </c>
    </row>
    <row r="13" customFormat="false" ht="57" hidden="false" customHeight="false" outlineLevel="0" collapsed="false">
      <c r="A13" s="5" t="s">
        <v>34</v>
      </c>
      <c r="B13" s="5" t="s">
        <v>35</v>
      </c>
      <c r="C13" s="7" t="s">
        <v>36</v>
      </c>
      <c r="D13" s="5" t="s">
        <v>37</v>
      </c>
      <c r="E13" s="5"/>
    </row>
    <row r="14" customFormat="false" ht="24" hidden="false" customHeight="false" outlineLevel="0" collapsed="false">
      <c r="A14" s="5" t="s">
        <v>38</v>
      </c>
      <c r="B14" s="5" t="s">
        <v>16</v>
      </c>
      <c r="C14" s="7" t="s">
        <v>17</v>
      </c>
      <c r="D14" s="5" t="s">
        <v>39</v>
      </c>
      <c r="E14" s="5"/>
    </row>
    <row r="15" customFormat="false" ht="46" hidden="false" customHeight="false" outlineLevel="0" collapsed="false">
      <c r="A15" s="5" t="s">
        <v>40</v>
      </c>
      <c r="B15" s="5" t="s">
        <v>41</v>
      </c>
      <c r="C15" s="5" t="s">
        <v>42</v>
      </c>
      <c r="D15" s="5" t="s">
        <v>43</v>
      </c>
      <c r="E15" s="5" t="s">
        <v>44</v>
      </c>
    </row>
    <row r="16" customFormat="false" ht="13.8" hidden="false" customHeight="false" outlineLevel="0" collapsed="false">
      <c r="A16" s="5" t="s">
        <v>45</v>
      </c>
      <c r="B16" s="5" t="s">
        <v>12</v>
      </c>
      <c r="C16" s="5" t="s">
        <v>13</v>
      </c>
      <c r="D16" s="5"/>
      <c r="E16" s="5"/>
    </row>
    <row r="17" customFormat="false" ht="35" hidden="false" customHeight="false" outlineLevel="0" collapsed="false">
      <c r="A17" s="5" t="s">
        <v>46</v>
      </c>
      <c r="B17" s="5" t="s">
        <v>47</v>
      </c>
      <c r="C17" s="7" t="s">
        <v>48</v>
      </c>
      <c r="D17" s="5" t="s">
        <v>49</v>
      </c>
      <c r="E17" s="5" t="s">
        <v>50</v>
      </c>
    </row>
    <row r="18" customFormat="false" ht="35" hidden="false" customHeight="false" outlineLevel="0" collapsed="false">
      <c r="A18" s="5" t="s">
        <v>51</v>
      </c>
      <c r="B18" s="5" t="s">
        <v>52</v>
      </c>
      <c r="C18" s="7" t="s">
        <v>53</v>
      </c>
      <c r="D18" s="5" t="s">
        <v>54</v>
      </c>
      <c r="E18" s="5"/>
    </row>
    <row r="19" customFormat="false" ht="13.8" hidden="false" customHeight="false" outlineLevel="0" collapsed="false">
      <c r="A19" s="8" t="s">
        <v>55</v>
      </c>
      <c r="B19" s="8" t="s">
        <v>20</v>
      </c>
      <c r="C19" s="7" t="s">
        <v>21</v>
      </c>
      <c r="D19" s="5" t="s">
        <v>56</v>
      </c>
      <c r="E19" s="5" t="s">
        <v>57</v>
      </c>
    </row>
    <row r="20" customFormat="false" ht="36.5" hidden="false" customHeight="false" outlineLevel="0" collapsed="false">
      <c r="A20" s="1" t="s">
        <v>58</v>
      </c>
      <c r="B20" s="1" t="s">
        <v>59</v>
      </c>
      <c r="C20" s="7" t="s">
        <v>60</v>
      </c>
      <c r="D20" s="1" t="s">
        <v>54</v>
      </c>
    </row>
    <row r="21" customFormat="false" ht="25" hidden="false" customHeight="false" outlineLevel="0" collapsed="false">
      <c r="A21" s="1" t="s">
        <v>61</v>
      </c>
      <c r="B21" s="1" t="s">
        <v>62</v>
      </c>
      <c r="C21" s="7" t="s">
        <v>63</v>
      </c>
      <c r="D21" s="1" t="s">
        <v>64</v>
      </c>
      <c r="E21" s="1" t="s">
        <v>65</v>
      </c>
    </row>
    <row r="22" customFormat="false" ht="59.5" hidden="false" customHeight="false" outlineLevel="0" collapsed="false">
      <c r="A22" s="1" t="s">
        <v>66</v>
      </c>
      <c r="B22" s="1" t="s">
        <v>67</v>
      </c>
      <c r="C22" s="7" t="s">
        <v>68</v>
      </c>
      <c r="D22" s="1" t="s">
        <v>69</v>
      </c>
    </row>
    <row r="23" customFormat="false" ht="36.5" hidden="false" customHeight="false" outlineLevel="0" collapsed="false">
      <c r="A23" s="1" t="s">
        <v>70</v>
      </c>
      <c r="B23" s="1" t="s">
        <v>67</v>
      </c>
      <c r="C23" s="7" t="s">
        <v>68</v>
      </c>
      <c r="D23" s="5" t="s">
        <v>71</v>
      </c>
      <c r="E23" s="1" t="s">
        <v>72</v>
      </c>
    </row>
    <row r="24" customFormat="false" ht="36.5" hidden="false" customHeight="false" outlineLevel="0" collapsed="false">
      <c r="A24" s="1" t="s">
        <v>73</v>
      </c>
      <c r="B24" s="1" t="s">
        <v>67</v>
      </c>
      <c r="C24" s="7" t="s">
        <v>68</v>
      </c>
      <c r="D24" s="5" t="s">
        <v>71</v>
      </c>
      <c r="E24" s="1" t="s">
        <v>72</v>
      </c>
    </row>
    <row r="25" customFormat="false" ht="35" hidden="false" customHeight="false" outlineLevel="0" collapsed="false">
      <c r="A25" s="8" t="s">
        <v>74</v>
      </c>
      <c r="B25" s="1" t="s">
        <v>75</v>
      </c>
      <c r="C25" s="7" t="s">
        <v>76</v>
      </c>
      <c r="D25" s="5" t="s">
        <v>43</v>
      </c>
      <c r="E25" s="1" t="s">
        <v>77</v>
      </c>
    </row>
    <row r="26" customFormat="false" ht="35" hidden="false" customHeight="false" outlineLevel="0" collapsed="false">
      <c r="A26" s="8" t="s">
        <v>78</v>
      </c>
      <c r="B26" s="1" t="s">
        <v>79</v>
      </c>
      <c r="C26" s="7" t="s">
        <v>76</v>
      </c>
      <c r="D26" s="5" t="s">
        <v>43</v>
      </c>
      <c r="E26" s="1" t="s">
        <v>77</v>
      </c>
    </row>
    <row r="27" customFormat="false" ht="35" hidden="false" customHeight="false" outlineLevel="0" collapsed="false">
      <c r="A27" s="8" t="s">
        <v>80</v>
      </c>
      <c r="B27" s="1" t="s">
        <v>81</v>
      </c>
      <c r="C27" s="7" t="s">
        <v>76</v>
      </c>
      <c r="D27" s="5" t="s">
        <v>43</v>
      </c>
      <c r="E27" s="1" t="s">
        <v>77</v>
      </c>
    </row>
    <row r="28" customFormat="false" ht="35" hidden="false" customHeight="false" outlineLevel="0" collapsed="false">
      <c r="A28" s="8" t="s">
        <v>82</v>
      </c>
      <c r="B28" s="1" t="s">
        <v>83</v>
      </c>
      <c r="C28" s="7" t="s">
        <v>76</v>
      </c>
      <c r="D28" s="5" t="s">
        <v>43</v>
      </c>
      <c r="E28" s="1" t="s">
        <v>77</v>
      </c>
    </row>
    <row r="29" customFormat="false" ht="35" hidden="false" customHeight="false" outlineLevel="0" collapsed="false">
      <c r="A29" s="5" t="s">
        <v>84</v>
      </c>
      <c r="B29" s="1" t="s">
        <v>85</v>
      </c>
      <c r="C29" s="7" t="s">
        <v>76</v>
      </c>
      <c r="D29" s="5" t="s">
        <v>43</v>
      </c>
      <c r="E29" s="1" t="s">
        <v>77</v>
      </c>
    </row>
    <row r="30" customFormat="false" ht="13.8" hidden="false" customHeight="false" outlineLevel="0" collapsed="false">
      <c r="A30" s="4"/>
      <c r="B30" s="4"/>
      <c r="C30" s="4"/>
      <c r="D30" s="4"/>
      <c r="E30" s="4"/>
    </row>
    <row r="31" customFormat="false" ht="13.8" hidden="false" customHeight="false" outlineLevel="0" collapsed="false">
      <c r="A31" s="4"/>
      <c r="B31" s="4"/>
      <c r="C31" s="4"/>
      <c r="D31" s="4"/>
      <c r="E31" s="4"/>
    </row>
    <row r="32" customFormat="false" ht="13.8" hidden="false" customHeight="false" outlineLevel="0" collapsed="false">
      <c r="A32" s="4"/>
      <c r="B32" s="4"/>
      <c r="C32" s="4"/>
      <c r="D32" s="4"/>
      <c r="E32" s="4"/>
    </row>
    <row r="33" customFormat="false" ht="13.8" hidden="false" customHeight="false" outlineLevel="0" collapsed="false">
      <c r="A33" s="4"/>
      <c r="B33" s="4"/>
      <c r="C33" s="4"/>
      <c r="D33" s="4"/>
      <c r="E33" s="4"/>
    </row>
    <row r="34" customFormat="false" ht="13.8" hidden="false" customHeight="false" outlineLevel="0" collapsed="false">
      <c r="A34" s="4"/>
      <c r="B34" s="4"/>
      <c r="C34" s="4"/>
      <c r="D34" s="4"/>
      <c r="E34" s="4"/>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
    <mergeCell ref="A1:E1"/>
  </mergeCells>
  <hyperlinks>
    <hyperlink ref="C7" r:id="rId1" display="Flachowsky, G., 2002. Efficiency of Energy and Nutrient Use in the Production of Edible Protein of Animal Origin. Journal of Applied Animal Research 22, 1–24. https://doi.org/10.1080/09712119.2002.9706374 "/>
    <hyperlink ref="C8" r:id="rId2" display="Bellassen, V., Drut, M., Antonioli, F., Brečić, R., Donati, M., Ferrer-Pérez, H., Gauvrit, L., Hoang, V., Knutsen Steinnes, K., Lilavanichakul, A., Majewski, E., Malak-Rawlikowska, A., Mattas, K., Nguyen, A., Papadopoulos, I., Peerlings, J., Ristic, B., Tomić Maksan, M., Török, Á., Vittersø, G., Diallo, A., 2021. The Carbon and Land Footprint of Certified Food Products. Journal of Agricultural &amp; Food Industrial Organization 19, 113–126. https://doi.org/10.1515/jafio-2019-0037 "/>
    <hyperlink ref="C10" r:id="rId3" display="Lesschen, J.P., Van Den Berg, M., Westhoek, H.J., Witzke, H.P., Oenema, O., 2011. Greenhouse gas emission profiles of European livestock sectors. Animal Feed Science and Technology 166–167, 16–28. https://doi.org/10.1016/j.anifeedsci.2011.04.058 "/>
    <hyperlink ref="C12" r:id="rId4" display="Cornelus, M., Auberger, J., Rimbaud, A., Ceccaldi, M., 2025. AGRIBALYSE® version 3.2. https://doi.org/10.57745/XTENSJ "/>
    <hyperlink ref="C13" r:id="rId5" display="Bamber, N., Turner, I., Pelletier, N., 2025. Rapeseed, wheat and peas grown in Canada have considerably lower carbon footprints than those from major international competitors. Nat Food 6, 757–761. https://doi.org/10.1038/s43016-025-01212-0 "/>
    <hyperlink ref="C14" r:id="rId6" display="Bellassen, V., Drut, M., Antonioli, F., Brečić, R., Donati, M., Ferrer-Pérez, H., Gauvrit, L., Hoang, V., Knutsen Steinnes, K., Lilavanichakul, A., Majewski, E., Malak-Rawlikowska, A., Mattas, K., Nguyen, A., Papadopoulos, I., Peerlings, J., Ristic, B., Tomić Maksan, M., Török, Á., Vittersø, G., Diallo, A., 2021. The Carbon and Land Footprint of Certified Food Products. Journal of Agricultural &amp; Food Industrial Organization 19, 113–126. https://doi.org/10.1515/jafio-2019-0037 "/>
    <hyperlink ref="C17" r:id="rId7" display="Chiriacò, M.V., Castaldi, S., Valentini, R., 2022. Determining organic versus conventional food emissions to foster the transition to sustainable food systems and diets: Insights from a systematic review. Journal of Cleaner Production 380, 134937. https://doi.org/10.1016/j.jclepro.2022.134937 "/>
    <hyperlink ref="C18" r:id="rId8" display="Clune, S., Crossin, E., Verghese, K., 2017. Systematic review of greenhouse gas emissions for different fresh food categories. Journal of Cleaner Production 140, 766–783. https://doi.org/10.1016/j.jclepro.2016.04.082 "/>
    <hyperlink ref="C19" r:id="rId9" display="Lesschen, J.P., Van Den Berg, M., Westhoek, H.J., Witzke, H.P., Oenema, O., 2011. Greenhouse gas emission profiles of European livestock sectors. Animal Feed Science and Technology 166–167, 16–28. https://doi.org/10.1016/j.anifeedsci.2011.04.058 "/>
    <hyperlink ref="C20" r:id="rId10" display="Meier, M.S., Stoessel, F., Jungbluth, N., Juraske, R., Schader, C., Stolze, M., 2015. Environmental impacts of organic and conventional agricultural products - Are the differences captured by life cycle assessment? JOURNAL OF ENVIRONMENTAL MANAGEMENT. https://doi.org/10.1016/j.jenvman.2014.10.006 "/>
    <hyperlink ref="C21" r:id="rId11" display="Nijdam, D., Rood, T., Westhoek, H., 2012. The price of protein: Review of land use and carbon footprints from life cycle assessments of animal food products and their substitutes. Food Policy 37, 760–770. https://doi.org/10.1016/j.foodpol.2012.08.002 "/>
    <hyperlink ref="C22" r:id="rId12" display="Poore, J., Nemecek, T., 2018. Reducing food’s environmental impacts through producers and consumers. Science 360, 987–992. https://doi.org/10.1126/science.aaq0216 "/>
    <hyperlink ref="C23" r:id="rId13" display="Poore, J., Nemecek, T., 2018. Reducing food’s environmental impacts through producers and consumers. Science 360, 987–992. https://doi.org/10.1126/science.aaq0216 "/>
    <hyperlink ref="C24" r:id="rId14" display="Poore, J., Nemecek, T., 2018. Reducing food’s environmental impacts through producers and consumers. Science 360, 987–992. https://doi.org/10.1126/science.aaq0216 "/>
    <hyperlink ref="C25" r:id="rId15"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26" r:id="rId16"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27" r:id="rId17"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28" r:id="rId18"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 ref="C29" r:id="rId19" display="Carranza-Gallego, G., Guzmán, G.I., García-Ruíz, R., González de Molina, M., Aguilera, E., 2018. Contribution of old wheat varieties to climate change mitigation under contrasting managements and rainfed Mediterranean conditions. Journal of Cleaner Production 195, 111–121. https://doi.org/10.1016/j.jclepro.2018.05.188 "/>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8576"/>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0" ySplit="1" topLeftCell="A235" activePane="bottomLeft" state="frozen"/>
      <selection pane="topLeft" activeCell="A1" activeCellId="0" sqref="A1"/>
      <selection pane="bottomLeft" activeCell="A269" activeCellId="0" sqref="A269"/>
    </sheetView>
  </sheetViews>
  <sheetFormatPr defaultColWidth="11.53515625" defaultRowHeight="15.8" zeroHeight="false" outlineLevelRow="0" outlineLevelCol="0"/>
  <cols>
    <col collapsed="false" customWidth="true" hidden="false" outlineLevel="0" max="2" min="2" style="9" width="17.39"/>
    <col collapsed="false" customWidth="true" hidden="false" outlineLevel="0" max="3" min="3" style="9" width="20.72"/>
    <col collapsed="false" customWidth="true" hidden="false" outlineLevel="0" max="5" min="4" style="8" width="68.84"/>
  </cols>
  <sheetData>
    <row r="1" customFormat="false" ht="15.8" hidden="false" customHeight="false" outlineLevel="0" collapsed="false">
      <c r="A1" s="8" t="s">
        <v>86</v>
      </c>
      <c r="B1" s="9" t="s">
        <v>87</v>
      </c>
      <c r="C1" s="9" t="s">
        <v>88</v>
      </c>
      <c r="D1" s="8" t="s">
        <v>89</v>
      </c>
      <c r="E1" s="8" t="s">
        <v>1</v>
      </c>
    </row>
    <row r="2" customFormat="false" ht="13.8" hidden="false" customHeight="false" outlineLevel="0" collapsed="false">
      <c r="A2" s="8" t="s">
        <v>90</v>
      </c>
      <c r="B2" s="9" t="n">
        <v>0.39</v>
      </c>
      <c r="D2" s="8" t="s">
        <v>91</v>
      </c>
      <c r="E2" s="8" t="s">
        <v>24</v>
      </c>
    </row>
    <row r="3" customFormat="false" ht="13.8" hidden="false" customHeight="false" outlineLevel="0" collapsed="false">
      <c r="A3" s="8" t="s">
        <v>92</v>
      </c>
      <c r="B3" s="9" t="n">
        <v>1.1061238</v>
      </c>
      <c r="D3" s="8" t="s">
        <v>91</v>
      </c>
      <c r="E3" s="8" t="s">
        <v>29</v>
      </c>
    </row>
    <row r="4" customFormat="false" ht="13.8" hidden="false" customHeight="false" outlineLevel="0" collapsed="false">
      <c r="A4" s="8" t="s">
        <v>90</v>
      </c>
      <c r="B4" s="9" t="n">
        <v>0.4445626</v>
      </c>
      <c r="D4" s="8" t="s">
        <v>91</v>
      </c>
      <c r="E4" s="5" t="s">
        <v>29</v>
      </c>
    </row>
    <row r="5" customFormat="false" ht="13.8" hidden="false" customHeight="false" outlineLevel="0" collapsed="false">
      <c r="A5" s="8" t="s">
        <v>90</v>
      </c>
      <c r="B5" s="9" t="n">
        <v>0.59</v>
      </c>
      <c r="C5" s="9" t="n">
        <v>4183.1</v>
      </c>
      <c r="D5" s="5" t="s">
        <v>91</v>
      </c>
      <c r="E5" s="8" t="s">
        <v>93</v>
      </c>
    </row>
    <row r="6" customFormat="false" ht="13.8" hidden="false" customHeight="false" outlineLevel="0" collapsed="false">
      <c r="A6" s="8" t="s">
        <v>90</v>
      </c>
      <c r="B6" s="9" t="n">
        <v>0.49</v>
      </c>
      <c r="C6" s="9" t="n">
        <v>3474.1</v>
      </c>
      <c r="D6" s="5" t="s">
        <v>91</v>
      </c>
      <c r="E6" s="5" t="s">
        <v>94</v>
      </c>
    </row>
    <row r="7" customFormat="false" ht="13.8" hidden="false" customHeight="false" outlineLevel="0" collapsed="false">
      <c r="A7" s="8" t="s">
        <v>90</v>
      </c>
      <c r="B7" s="9" t="n">
        <v>0.65</v>
      </c>
      <c r="C7" s="9" t="n">
        <v>4784</v>
      </c>
      <c r="D7" s="5" t="s">
        <v>95</v>
      </c>
      <c r="E7" s="5" t="s">
        <v>93</v>
      </c>
    </row>
    <row r="8" customFormat="false" ht="13.8" hidden="false" customHeight="false" outlineLevel="0" collapsed="false">
      <c r="A8" s="8" t="s">
        <v>90</v>
      </c>
      <c r="B8" s="9" t="n">
        <v>0.48</v>
      </c>
      <c r="C8" s="9" t="n">
        <v>3532.8</v>
      </c>
      <c r="D8" s="5" t="s">
        <v>95</v>
      </c>
      <c r="E8" s="5" t="s">
        <v>94</v>
      </c>
    </row>
    <row r="9" customFormat="false" ht="13.8" hidden="false" customHeight="false" outlineLevel="0" collapsed="false">
      <c r="A9" s="8" t="s">
        <v>92</v>
      </c>
      <c r="B9" s="10" t="n">
        <v>1.016</v>
      </c>
      <c r="C9" s="10" t="n">
        <v>5657</v>
      </c>
      <c r="D9" s="8" t="s">
        <v>91</v>
      </c>
      <c r="E9" s="5" t="s">
        <v>38</v>
      </c>
    </row>
    <row r="10" customFormat="false" ht="13.8" hidden="false" customHeight="false" outlineLevel="0" collapsed="false">
      <c r="A10" s="8" t="s">
        <v>90</v>
      </c>
      <c r="B10" s="10" t="n">
        <v>0.241</v>
      </c>
      <c r="C10" s="10" t="n">
        <v>1830</v>
      </c>
      <c r="D10" s="5" t="s">
        <v>91</v>
      </c>
      <c r="E10" s="5" t="s">
        <v>38</v>
      </c>
    </row>
    <row r="11" customFormat="false" ht="13.8" hidden="false" customHeight="false" outlineLevel="0" collapsed="false">
      <c r="A11" s="8" t="s">
        <v>90</v>
      </c>
      <c r="B11" s="11" t="n">
        <v>0.1524</v>
      </c>
      <c r="C11" s="11" t="n">
        <v>725.3</v>
      </c>
      <c r="D11" s="8" t="s">
        <v>96</v>
      </c>
      <c r="E11" s="8" t="s">
        <v>74</v>
      </c>
    </row>
    <row r="12" customFormat="false" ht="13.8" hidden="false" customHeight="false" outlineLevel="0" collapsed="false">
      <c r="A12" s="8" t="s">
        <v>90</v>
      </c>
      <c r="B12" s="11" t="n">
        <v>0.0941</v>
      </c>
      <c r="C12" s="11" t="n">
        <v>387</v>
      </c>
      <c r="D12" s="8" t="s">
        <v>96</v>
      </c>
      <c r="E12" s="8" t="s">
        <v>78</v>
      </c>
    </row>
    <row r="13" customFormat="false" ht="13.8" hidden="false" customHeight="false" outlineLevel="0" collapsed="false">
      <c r="A13" s="8" t="s">
        <v>90</v>
      </c>
      <c r="B13" s="11" t="n">
        <v>0.336</v>
      </c>
      <c r="C13" s="11" t="n">
        <v>798</v>
      </c>
      <c r="D13" s="8" t="s">
        <v>96</v>
      </c>
      <c r="E13" s="8" t="s">
        <v>80</v>
      </c>
    </row>
    <row r="14" customFormat="false" ht="13.8" hidden="false" customHeight="false" outlineLevel="0" collapsed="false">
      <c r="A14" s="8" t="s">
        <v>90</v>
      </c>
      <c r="B14" s="11" t="n">
        <v>0.302</v>
      </c>
      <c r="C14" s="11" t="n">
        <v>909</v>
      </c>
      <c r="D14" s="8" t="s">
        <v>96</v>
      </c>
      <c r="E14" s="8" t="s">
        <v>82</v>
      </c>
    </row>
    <row r="15" customFormat="false" ht="13.8" hidden="false" customHeight="false" outlineLevel="0" collapsed="false">
      <c r="A15" s="8" t="s">
        <v>90</v>
      </c>
      <c r="B15" s="11" t="n">
        <v>0.343</v>
      </c>
      <c r="C15" s="11" t="n">
        <v>891</v>
      </c>
      <c r="D15" s="8" t="s">
        <v>96</v>
      </c>
      <c r="E15" s="5" t="s">
        <v>84</v>
      </c>
    </row>
    <row r="16" customFormat="false" ht="13.8" hidden="false" customHeight="false" outlineLevel="0" collapsed="false">
      <c r="A16" s="8" t="s">
        <v>92</v>
      </c>
      <c r="B16" s="9" t="n">
        <v>1.02</v>
      </c>
      <c r="C16" s="9" t="n">
        <v>8013</v>
      </c>
      <c r="D16" s="5" t="s">
        <v>91</v>
      </c>
      <c r="E16" s="5" t="s">
        <v>45</v>
      </c>
    </row>
    <row r="17" customFormat="false" ht="13.8" hidden="false" customHeight="false" outlineLevel="0" collapsed="false">
      <c r="A17" s="8" t="s">
        <v>92</v>
      </c>
      <c r="B17" s="12" t="n">
        <v>1.173</v>
      </c>
      <c r="C17" s="9" t="n">
        <v>5200</v>
      </c>
      <c r="D17" s="8" t="s">
        <v>97</v>
      </c>
      <c r="E17" s="5" t="s">
        <v>46</v>
      </c>
    </row>
    <row r="18" customFormat="false" ht="13.8" hidden="false" customHeight="false" outlineLevel="0" collapsed="false">
      <c r="A18" s="8" t="s">
        <v>92</v>
      </c>
      <c r="B18" s="12" t="n">
        <v>0.898</v>
      </c>
      <c r="C18" s="9" t="n">
        <v>7640</v>
      </c>
      <c r="D18" s="8" t="s">
        <v>98</v>
      </c>
      <c r="E18" s="5" t="s">
        <v>46</v>
      </c>
    </row>
    <row r="19" customFormat="false" ht="13.8" hidden="false" customHeight="false" outlineLevel="0" collapsed="false">
      <c r="A19" s="8" t="s">
        <v>92</v>
      </c>
      <c r="B19" s="12" t="n">
        <v>1.027</v>
      </c>
      <c r="C19" s="9" t="n">
        <v>6500</v>
      </c>
      <c r="D19" s="8" t="s">
        <v>99</v>
      </c>
      <c r="E19" s="5" t="s">
        <v>46</v>
      </c>
    </row>
    <row r="20" customFormat="false" ht="13.8" hidden="false" customHeight="false" outlineLevel="0" collapsed="false">
      <c r="A20" s="8" t="s">
        <v>92</v>
      </c>
      <c r="B20" s="12" t="n">
        <v>1.032</v>
      </c>
      <c r="C20" s="9" t="n">
        <v>6800</v>
      </c>
      <c r="D20" s="8" t="s">
        <v>100</v>
      </c>
      <c r="E20" s="5" t="s">
        <v>46</v>
      </c>
    </row>
    <row r="21" customFormat="false" ht="13.8" hidden="false" customHeight="false" outlineLevel="0" collapsed="false">
      <c r="A21" s="8" t="s">
        <v>92</v>
      </c>
      <c r="B21" s="12" t="n">
        <v>0.22</v>
      </c>
      <c r="C21" s="9" t="n">
        <v>5330</v>
      </c>
      <c r="D21" s="8" t="s">
        <v>101</v>
      </c>
      <c r="E21" s="5" t="s">
        <v>46</v>
      </c>
    </row>
    <row r="22" customFormat="false" ht="13.8" hidden="false" customHeight="false" outlineLevel="0" collapsed="false">
      <c r="A22" s="8" t="s">
        <v>92</v>
      </c>
      <c r="B22" s="12" t="n">
        <v>1.2</v>
      </c>
      <c r="C22" s="9" t="n">
        <v>6740</v>
      </c>
      <c r="D22" s="8" t="s">
        <v>101</v>
      </c>
      <c r="E22" s="5" t="s">
        <v>46</v>
      </c>
    </row>
    <row r="23" customFormat="false" ht="13.8" hidden="false" customHeight="false" outlineLevel="0" collapsed="false">
      <c r="A23" s="8" t="s">
        <v>92</v>
      </c>
      <c r="B23" s="12" t="n">
        <v>0.98</v>
      </c>
      <c r="C23" s="9" t="n">
        <v>6050</v>
      </c>
      <c r="D23" s="8" t="s">
        <v>91</v>
      </c>
      <c r="E23" s="5" t="s">
        <v>46</v>
      </c>
    </row>
    <row r="24" customFormat="false" ht="13.8" hidden="false" customHeight="false" outlineLevel="0" collapsed="false">
      <c r="A24" s="8" t="s">
        <v>92</v>
      </c>
      <c r="B24" s="12" t="n">
        <v>1.3</v>
      </c>
      <c r="C24" s="9" t="n">
        <v>9400</v>
      </c>
      <c r="D24" s="8" t="s">
        <v>95</v>
      </c>
      <c r="E24" s="5" t="s">
        <v>46</v>
      </c>
    </row>
    <row r="25" customFormat="false" ht="13.8" hidden="false" customHeight="false" outlineLevel="0" collapsed="false">
      <c r="A25" s="8" t="s">
        <v>92</v>
      </c>
      <c r="B25" s="12" t="n">
        <v>1.24</v>
      </c>
      <c r="C25" s="9" t="n">
        <v>25800</v>
      </c>
      <c r="D25" s="8" t="s">
        <v>102</v>
      </c>
      <c r="E25" s="5" t="s">
        <v>46</v>
      </c>
    </row>
    <row r="26" customFormat="false" ht="13.8" hidden="false" customHeight="false" outlineLevel="0" collapsed="false">
      <c r="A26" s="8" t="s">
        <v>92</v>
      </c>
      <c r="B26" s="12" t="n">
        <v>1.4</v>
      </c>
      <c r="C26" s="9" t="n">
        <v>21880</v>
      </c>
      <c r="D26" s="8" t="s">
        <v>103</v>
      </c>
      <c r="E26" s="5" t="s">
        <v>46</v>
      </c>
    </row>
    <row r="27" customFormat="false" ht="13.8" hidden="false" customHeight="false" outlineLevel="0" collapsed="false">
      <c r="A27" s="8" t="s">
        <v>90</v>
      </c>
      <c r="B27" s="9" t="n">
        <v>1.18</v>
      </c>
      <c r="C27" s="9" t="n">
        <v>2870</v>
      </c>
      <c r="D27" s="8" t="s">
        <v>102</v>
      </c>
      <c r="E27" s="5" t="s">
        <v>46</v>
      </c>
    </row>
    <row r="28" customFormat="false" ht="13.8" hidden="false" customHeight="false" outlineLevel="0" collapsed="false">
      <c r="A28" s="8" t="s">
        <v>92</v>
      </c>
      <c r="B28" s="9" t="n">
        <v>1.05</v>
      </c>
      <c r="D28" s="8" t="s">
        <v>104</v>
      </c>
      <c r="E28" s="5" t="s">
        <v>51</v>
      </c>
    </row>
    <row r="29" customFormat="false" ht="13.8" hidden="false" customHeight="false" outlineLevel="0" collapsed="false">
      <c r="A29" s="8" t="s">
        <v>92</v>
      </c>
      <c r="B29" s="9" t="n">
        <v>1.06</v>
      </c>
      <c r="D29" s="8" t="s">
        <v>104</v>
      </c>
      <c r="E29" s="5" t="s">
        <v>51</v>
      </c>
    </row>
    <row r="30" customFormat="false" ht="13.8" hidden="false" customHeight="false" outlineLevel="0" collapsed="false">
      <c r="A30" s="8" t="s">
        <v>92</v>
      </c>
      <c r="B30" s="9" t="n">
        <v>1.09</v>
      </c>
      <c r="D30" s="8" t="s">
        <v>104</v>
      </c>
      <c r="E30" s="5" t="s">
        <v>51</v>
      </c>
    </row>
    <row r="31" customFormat="false" ht="13.8" hidden="false" customHeight="false" outlineLevel="0" collapsed="false">
      <c r="A31" s="8" t="s">
        <v>92</v>
      </c>
      <c r="B31" s="9" t="n">
        <v>1.1</v>
      </c>
      <c r="D31" s="8" t="s">
        <v>104</v>
      </c>
      <c r="E31" s="5" t="s">
        <v>51</v>
      </c>
    </row>
    <row r="32" customFormat="false" ht="13.8" hidden="false" customHeight="false" outlineLevel="0" collapsed="false">
      <c r="A32" s="8" t="s">
        <v>92</v>
      </c>
      <c r="B32" s="9" t="n">
        <v>1.115</v>
      </c>
      <c r="D32" s="8" t="s">
        <v>104</v>
      </c>
      <c r="E32" s="5" t="s">
        <v>51</v>
      </c>
    </row>
    <row r="33" customFormat="false" ht="13.8" hidden="false" customHeight="false" outlineLevel="0" collapsed="false">
      <c r="A33" s="8" t="s">
        <v>92</v>
      </c>
      <c r="B33" s="9" t="n">
        <v>1.14</v>
      </c>
      <c r="D33" s="8" t="s">
        <v>104</v>
      </c>
      <c r="E33" s="5" t="s">
        <v>51</v>
      </c>
    </row>
    <row r="34" customFormat="false" ht="13.8" hidden="false" customHeight="false" outlineLevel="0" collapsed="false">
      <c r="A34" s="8" t="s">
        <v>92</v>
      </c>
      <c r="B34" s="9" t="n">
        <v>1.2</v>
      </c>
      <c r="D34" s="8" t="s">
        <v>104</v>
      </c>
      <c r="E34" s="5" t="s">
        <v>51</v>
      </c>
    </row>
    <row r="35" customFormat="false" ht="13.8" hidden="false" customHeight="false" outlineLevel="0" collapsed="false">
      <c r="A35" s="8" t="s">
        <v>92</v>
      </c>
      <c r="B35" s="9" t="n">
        <v>1.24</v>
      </c>
      <c r="D35" s="8" t="s">
        <v>104</v>
      </c>
      <c r="E35" s="5" t="s">
        <v>51</v>
      </c>
    </row>
    <row r="36" customFormat="false" ht="13.8" hidden="false" customHeight="false" outlineLevel="0" collapsed="false">
      <c r="A36" s="8" t="s">
        <v>92</v>
      </c>
      <c r="B36" s="9" t="n">
        <v>1.24</v>
      </c>
      <c r="D36" s="8" t="s">
        <v>104</v>
      </c>
      <c r="E36" s="5" t="s">
        <v>51</v>
      </c>
    </row>
    <row r="37" customFormat="false" ht="13.8" hidden="false" customHeight="false" outlineLevel="0" collapsed="false">
      <c r="A37" s="8" t="s">
        <v>92</v>
      </c>
      <c r="B37" s="9" t="n">
        <v>1.31</v>
      </c>
      <c r="D37" s="8" t="s">
        <v>104</v>
      </c>
      <c r="E37" s="5" t="s">
        <v>51</v>
      </c>
    </row>
    <row r="38" customFormat="false" ht="13.8" hidden="false" customHeight="false" outlineLevel="0" collapsed="false">
      <c r="A38" s="8" t="s">
        <v>92</v>
      </c>
      <c r="B38" s="9" t="n">
        <v>1.34</v>
      </c>
      <c r="D38" s="8" t="s">
        <v>104</v>
      </c>
      <c r="E38" s="5" t="s">
        <v>51</v>
      </c>
    </row>
    <row r="39" customFormat="false" ht="13.8" hidden="false" customHeight="false" outlineLevel="0" collapsed="false">
      <c r="A39" s="8" t="s">
        <v>92</v>
      </c>
      <c r="B39" s="9" t="n">
        <v>1.34</v>
      </c>
      <c r="D39" s="8" t="s">
        <v>104</v>
      </c>
      <c r="E39" s="5" t="s">
        <v>51</v>
      </c>
    </row>
    <row r="40" customFormat="false" ht="13.8" hidden="false" customHeight="false" outlineLevel="0" collapsed="false">
      <c r="A40" s="8" t="s">
        <v>92</v>
      </c>
      <c r="B40" s="9" t="n">
        <v>1.34</v>
      </c>
      <c r="D40" s="8" t="s">
        <v>104</v>
      </c>
      <c r="E40" s="5" t="s">
        <v>51</v>
      </c>
    </row>
    <row r="41" customFormat="false" ht="13.8" hidden="false" customHeight="false" outlineLevel="0" collapsed="false">
      <c r="A41" s="8" t="s">
        <v>92</v>
      </c>
      <c r="B41" s="9" t="n">
        <v>3.26</v>
      </c>
      <c r="D41" s="8" t="s">
        <v>105</v>
      </c>
      <c r="E41" s="5" t="s">
        <v>51</v>
      </c>
    </row>
    <row r="42" customFormat="false" ht="13.8" hidden="false" customHeight="false" outlineLevel="0" collapsed="false">
      <c r="A42" s="8" t="s">
        <v>92</v>
      </c>
      <c r="B42" s="9" t="n">
        <v>2.06</v>
      </c>
      <c r="D42" s="8" t="s">
        <v>106</v>
      </c>
      <c r="E42" s="5" t="s">
        <v>51</v>
      </c>
    </row>
    <row r="43" customFormat="false" ht="13.8" hidden="false" customHeight="false" outlineLevel="0" collapsed="false">
      <c r="A43" s="8" t="s">
        <v>92</v>
      </c>
      <c r="B43" s="9" t="n">
        <v>1.29</v>
      </c>
      <c r="D43" s="8" t="s">
        <v>107</v>
      </c>
      <c r="E43" s="5" t="s">
        <v>51</v>
      </c>
    </row>
    <row r="44" customFormat="false" ht="13.8" hidden="false" customHeight="false" outlineLevel="0" collapsed="false">
      <c r="A44" s="8" t="s">
        <v>92</v>
      </c>
      <c r="B44" s="9" t="n">
        <v>1.42</v>
      </c>
      <c r="D44" s="8" t="s">
        <v>108</v>
      </c>
      <c r="E44" s="5" t="s">
        <v>51</v>
      </c>
    </row>
    <row r="45" customFormat="false" ht="13.8" hidden="false" customHeight="false" outlineLevel="0" collapsed="false">
      <c r="A45" s="8" t="s">
        <v>92</v>
      </c>
      <c r="B45" s="9" t="n">
        <v>2.39</v>
      </c>
      <c r="D45" s="8" t="s">
        <v>109</v>
      </c>
      <c r="E45" s="5" t="s">
        <v>51</v>
      </c>
    </row>
    <row r="46" customFormat="false" ht="13.8" hidden="false" customHeight="false" outlineLevel="0" collapsed="false">
      <c r="A46" s="8" t="s">
        <v>92</v>
      </c>
      <c r="B46" s="9" t="n">
        <v>1.46</v>
      </c>
      <c r="D46" s="8" t="s">
        <v>110</v>
      </c>
      <c r="E46" s="5" t="s">
        <v>51</v>
      </c>
    </row>
    <row r="47" customFormat="false" ht="13.8" hidden="false" customHeight="false" outlineLevel="0" collapsed="false">
      <c r="A47" s="8" t="s">
        <v>92</v>
      </c>
      <c r="B47" s="9" t="n">
        <v>1.62</v>
      </c>
      <c r="D47" s="8" t="s">
        <v>111</v>
      </c>
      <c r="E47" s="5" t="s">
        <v>51</v>
      </c>
    </row>
    <row r="48" customFormat="false" ht="13.8" hidden="false" customHeight="false" outlineLevel="0" collapsed="false">
      <c r="A48" s="8" t="s">
        <v>92</v>
      </c>
      <c r="B48" s="9" t="n">
        <v>0.866</v>
      </c>
      <c r="D48" s="8" t="s">
        <v>101</v>
      </c>
      <c r="E48" s="5" t="s">
        <v>51</v>
      </c>
    </row>
    <row r="49" customFormat="false" ht="13.8" hidden="false" customHeight="false" outlineLevel="0" collapsed="false">
      <c r="A49" s="8" t="s">
        <v>92</v>
      </c>
      <c r="B49" s="9" t="n">
        <v>0.894</v>
      </c>
      <c r="D49" s="8" t="s">
        <v>101</v>
      </c>
      <c r="E49" s="5" t="s">
        <v>51</v>
      </c>
    </row>
    <row r="50" customFormat="false" ht="13.8" hidden="false" customHeight="false" outlineLevel="0" collapsed="false">
      <c r="A50" s="8" t="s">
        <v>92</v>
      </c>
      <c r="B50" s="9" t="n">
        <v>1.05</v>
      </c>
      <c r="D50" s="8" t="s">
        <v>101</v>
      </c>
      <c r="E50" s="5" t="s">
        <v>51</v>
      </c>
    </row>
    <row r="51" customFormat="false" ht="13.8" hidden="false" customHeight="false" outlineLevel="0" collapsed="false">
      <c r="A51" s="8" t="s">
        <v>92</v>
      </c>
      <c r="B51" s="9" t="n">
        <v>1.06</v>
      </c>
      <c r="D51" s="8" t="s">
        <v>101</v>
      </c>
      <c r="E51" s="5" t="s">
        <v>51</v>
      </c>
    </row>
    <row r="52" customFormat="false" ht="13.8" hidden="false" customHeight="false" outlineLevel="0" collapsed="false">
      <c r="A52" s="8" t="s">
        <v>92</v>
      </c>
      <c r="B52" s="9" t="n">
        <v>1.083</v>
      </c>
      <c r="D52" s="8" t="s">
        <v>101</v>
      </c>
      <c r="E52" s="5" t="s">
        <v>51</v>
      </c>
    </row>
    <row r="53" customFormat="false" ht="13.8" hidden="false" customHeight="false" outlineLevel="0" collapsed="false">
      <c r="A53" s="8" t="s">
        <v>92</v>
      </c>
      <c r="B53" s="9" t="n">
        <v>1.138</v>
      </c>
      <c r="D53" s="8" t="s">
        <v>101</v>
      </c>
      <c r="E53" s="5" t="s">
        <v>51</v>
      </c>
    </row>
    <row r="54" customFormat="false" ht="13.8" hidden="false" customHeight="false" outlineLevel="0" collapsed="false">
      <c r="A54" s="8" t="s">
        <v>92</v>
      </c>
      <c r="B54" s="9" t="n">
        <v>1.14</v>
      </c>
      <c r="D54" s="8" t="s">
        <v>101</v>
      </c>
      <c r="E54" s="5" t="s">
        <v>51</v>
      </c>
    </row>
    <row r="55" customFormat="false" ht="13.8" hidden="false" customHeight="false" outlineLevel="0" collapsed="false">
      <c r="A55" s="8" t="s">
        <v>92</v>
      </c>
      <c r="B55" s="9" t="n">
        <v>1.14</v>
      </c>
      <c r="D55" s="8" t="s">
        <v>101</v>
      </c>
      <c r="E55" s="5" t="s">
        <v>51</v>
      </c>
    </row>
    <row r="56" customFormat="false" ht="13.8" hidden="false" customHeight="false" outlineLevel="0" collapsed="false">
      <c r="A56" s="8" t="s">
        <v>92</v>
      </c>
      <c r="B56" s="9" t="n">
        <v>1.17</v>
      </c>
      <c r="D56" s="8" t="s">
        <v>101</v>
      </c>
      <c r="E56" s="5" t="s">
        <v>51</v>
      </c>
    </row>
    <row r="57" customFormat="false" ht="13.8" hidden="false" customHeight="false" outlineLevel="0" collapsed="false">
      <c r="A57" s="8" t="s">
        <v>92</v>
      </c>
      <c r="B57" s="9" t="n">
        <v>1.205</v>
      </c>
      <c r="D57" s="8" t="s">
        <v>101</v>
      </c>
      <c r="E57" s="5" t="s">
        <v>51</v>
      </c>
    </row>
    <row r="58" customFormat="false" ht="13.8" hidden="false" customHeight="false" outlineLevel="0" collapsed="false">
      <c r="A58" s="8" t="s">
        <v>92</v>
      </c>
      <c r="B58" s="9" t="n">
        <v>1.205</v>
      </c>
      <c r="D58" s="8" t="s">
        <v>101</v>
      </c>
      <c r="E58" s="5" t="s">
        <v>51</v>
      </c>
    </row>
    <row r="59" customFormat="false" ht="13.8" hidden="false" customHeight="false" outlineLevel="0" collapsed="false">
      <c r="A59" s="8" t="s">
        <v>92</v>
      </c>
      <c r="B59" s="9" t="n">
        <v>1.205</v>
      </c>
      <c r="D59" s="8" t="s">
        <v>101</v>
      </c>
      <c r="E59" s="5" t="s">
        <v>51</v>
      </c>
    </row>
    <row r="60" customFormat="false" ht="13.8" hidden="false" customHeight="false" outlineLevel="0" collapsed="false">
      <c r="A60" s="8" t="s">
        <v>92</v>
      </c>
      <c r="B60" s="9" t="n">
        <v>1.21</v>
      </c>
      <c r="D60" s="8" t="s">
        <v>101</v>
      </c>
      <c r="E60" s="5" t="s">
        <v>51</v>
      </c>
    </row>
    <row r="61" customFormat="false" ht="13.8" hidden="false" customHeight="false" outlineLevel="0" collapsed="false">
      <c r="A61" s="8" t="s">
        <v>92</v>
      </c>
      <c r="B61" s="9" t="n">
        <v>1.22</v>
      </c>
      <c r="D61" s="8" t="s">
        <v>101</v>
      </c>
      <c r="E61" s="5" t="s">
        <v>51</v>
      </c>
    </row>
    <row r="62" customFormat="false" ht="13.8" hidden="false" customHeight="false" outlineLevel="0" collapsed="false">
      <c r="A62" s="8" t="s">
        <v>92</v>
      </c>
      <c r="B62" s="9" t="n">
        <v>1.22</v>
      </c>
      <c r="D62" s="8" t="s">
        <v>101</v>
      </c>
      <c r="E62" s="5" t="s">
        <v>51</v>
      </c>
    </row>
    <row r="63" customFormat="false" ht="13.8" hidden="false" customHeight="false" outlineLevel="0" collapsed="false">
      <c r="A63" s="8" t="s">
        <v>92</v>
      </c>
      <c r="B63" s="9" t="n">
        <v>1.24</v>
      </c>
      <c r="D63" s="8" t="s">
        <v>101</v>
      </c>
      <c r="E63" s="5" t="s">
        <v>51</v>
      </c>
    </row>
    <row r="64" customFormat="false" ht="13.8" hidden="false" customHeight="false" outlineLevel="0" collapsed="false">
      <c r="A64" s="8" t="s">
        <v>92</v>
      </c>
      <c r="B64" s="9" t="n">
        <v>1.42</v>
      </c>
      <c r="D64" s="8" t="s">
        <v>101</v>
      </c>
      <c r="E64" s="5" t="s">
        <v>51</v>
      </c>
    </row>
    <row r="65" customFormat="false" ht="13.8" hidden="false" customHeight="false" outlineLevel="0" collapsed="false">
      <c r="A65" s="8" t="s">
        <v>92</v>
      </c>
      <c r="B65" s="9" t="n">
        <v>1.59</v>
      </c>
      <c r="D65" s="8" t="s">
        <v>101</v>
      </c>
      <c r="E65" s="5" t="s">
        <v>51</v>
      </c>
    </row>
    <row r="66" customFormat="false" ht="13.8" hidden="false" customHeight="false" outlineLevel="0" collapsed="false">
      <c r="A66" s="8" t="s">
        <v>92</v>
      </c>
      <c r="B66" s="9" t="n">
        <v>1.69</v>
      </c>
      <c r="D66" s="8" t="s">
        <v>101</v>
      </c>
      <c r="E66" s="5" t="s">
        <v>51</v>
      </c>
    </row>
    <row r="67" customFormat="false" ht="13.8" hidden="false" customHeight="false" outlineLevel="0" collapsed="false">
      <c r="A67" s="8" t="s">
        <v>92</v>
      </c>
      <c r="B67" s="9" t="n">
        <v>1.79</v>
      </c>
      <c r="D67" s="8" t="s">
        <v>101</v>
      </c>
      <c r="E67" s="5" t="s">
        <v>51</v>
      </c>
    </row>
    <row r="68" customFormat="false" ht="13.8" hidden="false" customHeight="false" outlineLevel="0" collapsed="false">
      <c r="A68" s="8" t="s">
        <v>92</v>
      </c>
      <c r="B68" s="9" t="n">
        <v>1.94</v>
      </c>
      <c r="D68" s="8" t="s">
        <v>112</v>
      </c>
      <c r="E68" s="5" t="s">
        <v>51</v>
      </c>
    </row>
    <row r="69" customFormat="false" ht="13.8" hidden="false" customHeight="false" outlineLevel="0" collapsed="false">
      <c r="A69" s="8" t="s">
        <v>92</v>
      </c>
      <c r="B69" s="9" t="n">
        <v>1.4</v>
      </c>
      <c r="D69" s="8" t="s">
        <v>113</v>
      </c>
      <c r="E69" s="5" t="s">
        <v>51</v>
      </c>
    </row>
    <row r="70" customFormat="false" ht="13.8" hidden="false" customHeight="false" outlineLevel="0" collapsed="false">
      <c r="A70" s="8" t="s">
        <v>92</v>
      </c>
      <c r="B70" s="9" t="n">
        <v>1.4</v>
      </c>
      <c r="D70" s="8" t="s">
        <v>114</v>
      </c>
      <c r="E70" s="5" t="s">
        <v>51</v>
      </c>
    </row>
    <row r="71" customFormat="false" ht="13.8" hidden="false" customHeight="false" outlineLevel="0" collapsed="false">
      <c r="A71" s="8" t="s">
        <v>92</v>
      </c>
      <c r="B71" s="9" t="n">
        <v>1.26</v>
      </c>
      <c r="D71" s="8" t="s">
        <v>115</v>
      </c>
      <c r="E71" s="5" t="s">
        <v>51</v>
      </c>
    </row>
    <row r="72" customFormat="false" ht="13.8" hidden="false" customHeight="false" outlineLevel="0" collapsed="false">
      <c r="A72" s="8" t="s">
        <v>92</v>
      </c>
      <c r="B72" s="9" t="n">
        <v>1.6</v>
      </c>
      <c r="D72" s="8" t="s">
        <v>115</v>
      </c>
      <c r="E72" s="5" t="s">
        <v>51</v>
      </c>
    </row>
    <row r="73" customFormat="false" ht="13.8" hidden="false" customHeight="false" outlineLevel="0" collapsed="false">
      <c r="A73" s="8" t="s">
        <v>92</v>
      </c>
      <c r="B73" s="9" t="n">
        <v>1.54</v>
      </c>
      <c r="D73" s="8" t="s">
        <v>116</v>
      </c>
      <c r="E73" s="5" t="s">
        <v>51</v>
      </c>
    </row>
    <row r="74" customFormat="false" ht="13.8" hidden="false" customHeight="false" outlineLevel="0" collapsed="false">
      <c r="A74" s="8" t="s">
        <v>92</v>
      </c>
      <c r="B74" s="9" t="n">
        <v>0.94</v>
      </c>
      <c r="D74" s="8" t="s">
        <v>91</v>
      </c>
      <c r="E74" s="5" t="s">
        <v>51</v>
      </c>
    </row>
    <row r="75" customFormat="false" ht="13.8" hidden="false" customHeight="false" outlineLevel="0" collapsed="false">
      <c r="A75" s="8" t="s">
        <v>92</v>
      </c>
      <c r="B75" s="9" t="n">
        <v>0.99</v>
      </c>
      <c r="D75" s="8" t="s">
        <v>91</v>
      </c>
      <c r="E75" s="5" t="s">
        <v>51</v>
      </c>
    </row>
    <row r="76" customFormat="false" ht="13.8" hidden="false" customHeight="false" outlineLevel="0" collapsed="false">
      <c r="A76" s="8" t="s">
        <v>92</v>
      </c>
      <c r="B76" s="9" t="n">
        <v>1.01</v>
      </c>
      <c r="D76" s="8" t="s">
        <v>91</v>
      </c>
      <c r="E76" s="5" t="s">
        <v>51</v>
      </c>
    </row>
    <row r="77" customFormat="false" ht="13.8" hidden="false" customHeight="false" outlineLevel="0" collapsed="false">
      <c r="A77" s="8" t="s">
        <v>92</v>
      </c>
      <c r="B77" s="9" t="n">
        <v>1.02</v>
      </c>
      <c r="D77" s="8" t="s">
        <v>91</v>
      </c>
      <c r="E77" s="5" t="s">
        <v>51</v>
      </c>
    </row>
    <row r="78" customFormat="false" ht="13.8" hidden="false" customHeight="false" outlineLevel="0" collapsed="false">
      <c r="A78" s="8" t="s">
        <v>92</v>
      </c>
      <c r="B78" s="9" t="n">
        <v>1.04</v>
      </c>
      <c r="D78" s="8" t="s">
        <v>91</v>
      </c>
      <c r="E78" s="5" t="s">
        <v>51</v>
      </c>
    </row>
    <row r="79" customFormat="false" ht="13.8" hidden="false" customHeight="false" outlineLevel="0" collapsed="false">
      <c r="A79" s="8" t="s">
        <v>92</v>
      </c>
      <c r="B79" s="9" t="n">
        <v>1.08</v>
      </c>
      <c r="D79" s="8" t="s">
        <v>91</v>
      </c>
      <c r="E79" s="5" t="s">
        <v>51</v>
      </c>
    </row>
    <row r="80" customFormat="false" ht="13.8" hidden="false" customHeight="false" outlineLevel="0" collapsed="false">
      <c r="A80" s="8" t="s">
        <v>92</v>
      </c>
      <c r="B80" s="9" t="n">
        <v>1.1</v>
      </c>
      <c r="D80" s="8" t="s">
        <v>91</v>
      </c>
      <c r="E80" s="5" t="s">
        <v>51</v>
      </c>
    </row>
    <row r="81" customFormat="false" ht="13.8" hidden="false" customHeight="false" outlineLevel="0" collapsed="false">
      <c r="A81" s="8" t="s">
        <v>92</v>
      </c>
      <c r="B81" s="9" t="n">
        <v>1.11</v>
      </c>
      <c r="D81" s="8" t="s">
        <v>91</v>
      </c>
      <c r="E81" s="5" t="s">
        <v>51</v>
      </c>
    </row>
    <row r="82" customFormat="false" ht="13.8" hidden="false" customHeight="false" outlineLevel="0" collapsed="false">
      <c r="A82" s="8" t="s">
        <v>92</v>
      </c>
      <c r="B82" s="9" t="n">
        <v>1.11</v>
      </c>
      <c r="D82" s="8" t="s">
        <v>91</v>
      </c>
      <c r="E82" s="5" t="s">
        <v>51</v>
      </c>
    </row>
    <row r="83" customFormat="false" ht="13.8" hidden="false" customHeight="false" outlineLevel="0" collapsed="false">
      <c r="A83" s="8" t="s">
        <v>92</v>
      </c>
      <c r="B83" s="9" t="n">
        <v>1.15</v>
      </c>
      <c r="D83" s="8" t="s">
        <v>91</v>
      </c>
      <c r="E83" s="5" t="s">
        <v>51</v>
      </c>
    </row>
    <row r="84" customFormat="false" ht="13.8" hidden="false" customHeight="false" outlineLevel="0" collapsed="false">
      <c r="A84" s="8" t="s">
        <v>92</v>
      </c>
      <c r="B84" s="9" t="n">
        <v>1.17</v>
      </c>
      <c r="D84" s="8" t="s">
        <v>91</v>
      </c>
      <c r="E84" s="5" t="s">
        <v>51</v>
      </c>
    </row>
    <row r="85" customFormat="false" ht="13.8" hidden="false" customHeight="false" outlineLevel="0" collapsed="false">
      <c r="A85" s="8" t="s">
        <v>92</v>
      </c>
      <c r="B85" s="9" t="n">
        <v>1.18</v>
      </c>
      <c r="D85" s="8" t="s">
        <v>91</v>
      </c>
      <c r="E85" s="5" t="s">
        <v>51</v>
      </c>
    </row>
    <row r="86" customFormat="false" ht="13.8" hidden="false" customHeight="false" outlineLevel="0" collapsed="false">
      <c r="A86" s="8" t="s">
        <v>92</v>
      </c>
      <c r="B86" s="9" t="n">
        <v>1.19</v>
      </c>
      <c r="D86" s="8" t="s">
        <v>91</v>
      </c>
      <c r="E86" s="5" t="s">
        <v>51</v>
      </c>
    </row>
    <row r="87" customFormat="false" ht="13.8" hidden="false" customHeight="false" outlineLevel="0" collapsed="false">
      <c r="A87" s="8" t="s">
        <v>92</v>
      </c>
      <c r="B87" s="9" t="n">
        <v>1.23</v>
      </c>
      <c r="D87" s="8" t="s">
        <v>91</v>
      </c>
      <c r="E87" s="5" t="s">
        <v>51</v>
      </c>
    </row>
    <row r="88" customFormat="false" ht="13.8" hidden="false" customHeight="false" outlineLevel="0" collapsed="false">
      <c r="A88" s="8" t="s">
        <v>92</v>
      </c>
      <c r="B88" s="9" t="n">
        <v>1.26</v>
      </c>
      <c r="D88" s="8" t="s">
        <v>91</v>
      </c>
      <c r="E88" s="5" t="s">
        <v>51</v>
      </c>
    </row>
    <row r="89" customFormat="false" ht="13.8" hidden="false" customHeight="false" outlineLevel="0" collapsed="false">
      <c r="A89" s="8" t="s">
        <v>92</v>
      </c>
      <c r="B89" s="9" t="n">
        <v>1.26333333333333</v>
      </c>
      <c r="D89" s="8" t="s">
        <v>91</v>
      </c>
      <c r="E89" s="5" t="s">
        <v>51</v>
      </c>
    </row>
    <row r="90" customFormat="false" ht="13.8" hidden="false" customHeight="false" outlineLevel="0" collapsed="false">
      <c r="A90" s="8" t="s">
        <v>92</v>
      </c>
      <c r="B90" s="9" t="n">
        <v>1.265</v>
      </c>
      <c r="D90" s="8" t="s">
        <v>91</v>
      </c>
      <c r="E90" s="5" t="s">
        <v>51</v>
      </c>
    </row>
    <row r="91" customFormat="false" ht="13.8" hidden="false" customHeight="false" outlineLevel="0" collapsed="false">
      <c r="A91" s="8" t="s">
        <v>92</v>
      </c>
      <c r="B91" s="9" t="n">
        <v>1.28</v>
      </c>
      <c r="D91" s="8" t="s">
        <v>91</v>
      </c>
      <c r="E91" s="5" t="s">
        <v>51</v>
      </c>
    </row>
    <row r="92" customFormat="false" ht="13.8" hidden="false" customHeight="false" outlineLevel="0" collapsed="false">
      <c r="A92" s="8" t="s">
        <v>92</v>
      </c>
      <c r="B92" s="9" t="n">
        <v>1.3</v>
      </c>
      <c r="D92" s="8" t="s">
        <v>91</v>
      </c>
      <c r="E92" s="5" t="s">
        <v>51</v>
      </c>
    </row>
    <row r="93" customFormat="false" ht="13.8" hidden="false" customHeight="false" outlineLevel="0" collapsed="false">
      <c r="A93" s="8" t="s">
        <v>92</v>
      </c>
      <c r="B93" s="9" t="n">
        <v>1.3</v>
      </c>
      <c r="D93" s="8" t="s">
        <v>91</v>
      </c>
      <c r="E93" s="5" t="s">
        <v>51</v>
      </c>
    </row>
    <row r="94" customFormat="false" ht="13.8" hidden="false" customHeight="false" outlineLevel="0" collapsed="false">
      <c r="A94" s="8" t="s">
        <v>92</v>
      </c>
      <c r="B94" s="9" t="n">
        <v>1.31</v>
      </c>
      <c r="D94" s="8" t="s">
        <v>91</v>
      </c>
      <c r="E94" s="5" t="s">
        <v>51</v>
      </c>
    </row>
    <row r="95" customFormat="false" ht="13.8" hidden="false" customHeight="false" outlineLevel="0" collapsed="false">
      <c r="A95" s="8" t="s">
        <v>92</v>
      </c>
      <c r="B95" s="9" t="n">
        <v>1.36</v>
      </c>
      <c r="D95" s="8" t="s">
        <v>91</v>
      </c>
      <c r="E95" s="5" t="s">
        <v>51</v>
      </c>
    </row>
    <row r="96" customFormat="false" ht="13.8" hidden="false" customHeight="false" outlineLevel="0" collapsed="false">
      <c r="A96" s="8" t="s">
        <v>92</v>
      </c>
      <c r="B96" s="9" t="n">
        <v>1.38</v>
      </c>
      <c r="D96" s="8" t="s">
        <v>91</v>
      </c>
      <c r="E96" s="5" t="s">
        <v>51</v>
      </c>
    </row>
    <row r="97" customFormat="false" ht="13.8" hidden="false" customHeight="false" outlineLevel="0" collapsed="false">
      <c r="A97" s="8" t="s">
        <v>92</v>
      </c>
      <c r="B97" s="9" t="n">
        <v>1.4</v>
      </c>
      <c r="D97" s="8" t="s">
        <v>91</v>
      </c>
      <c r="E97" s="5" t="s">
        <v>51</v>
      </c>
    </row>
    <row r="98" customFormat="false" ht="13.8" hidden="false" customHeight="false" outlineLevel="0" collapsed="false">
      <c r="A98" s="8" t="s">
        <v>92</v>
      </c>
      <c r="B98" s="9" t="n">
        <v>1.41</v>
      </c>
      <c r="D98" s="8" t="s">
        <v>91</v>
      </c>
      <c r="E98" s="5" t="s">
        <v>51</v>
      </c>
    </row>
    <row r="99" customFormat="false" ht="13.8" hidden="false" customHeight="false" outlineLevel="0" collapsed="false">
      <c r="A99" s="8" t="s">
        <v>92</v>
      </c>
      <c r="B99" s="9" t="n">
        <v>1.42</v>
      </c>
      <c r="D99" s="8" t="s">
        <v>91</v>
      </c>
      <c r="E99" s="5" t="s">
        <v>51</v>
      </c>
    </row>
    <row r="100" customFormat="false" ht="13.8" hidden="false" customHeight="false" outlineLevel="0" collapsed="false">
      <c r="A100" s="8" t="s">
        <v>92</v>
      </c>
      <c r="B100" s="9" t="n">
        <v>1.43</v>
      </c>
      <c r="D100" s="8" t="s">
        <v>91</v>
      </c>
      <c r="E100" s="5" t="s">
        <v>51</v>
      </c>
    </row>
    <row r="101" customFormat="false" ht="13.8" hidden="false" customHeight="false" outlineLevel="0" collapsed="false">
      <c r="A101" s="8" t="s">
        <v>92</v>
      </c>
      <c r="B101" s="9" t="n">
        <v>1.47</v>
      </c>
      <c r="D101" s="8" t="s">
        <v>91</v>
      </c>
      <c r="E101" s="5" t="s">
        <v>51</v>
      </c>
    </row>
    <row r="102" customFormat="false" ht="13.8" hidden="false" customHeight="false" outlineLevel="0" collapsed="false">
      <c r="A102" s="8" t="s">
        <v>92</v>
      </c>
      <c r="B102" s="9" t="n">
        <v>1.53</v>
      </c>
      <c r="D102" s="8" t="s">
        <v>91</v>
      </c>
      <c r="E102" s="5" t="s">
        <v>51</v>
      </c>
    </row>
    <row r="103" customFormat="false" ht="13.8" hidden="false" customHeight="false" outlineLevel="0" collapsed="false">
      <c r="A103" s="8" t="s">
        <v>92</v>
      </c>
      <c r="B103" s="9" t="n">
        <v>1.55</v>
      </c>
      <c r="D103" s="8" t="s">
        <v>91</v>
      </c>
      <c r="E103" s="5" t="s">
        <v>51</v>
      </c>
    </row>
    <row r="104" customFormat="false" ht="13.8" hidden="false" customHeight="false" outlineLevel="0" collapsed="false">
      <c r="A104" s="8" t="s">
        <v>92</v>
      </c>
      <c r="B104" s="9" t="n">
        <v>1.57</v>
      </c>
      <c r="D104" s="8" t="s">
        <v>91</v>
      </c>
      <c r="E104" s="5" t="s">
        <v>51</v>
      </c>
    </row>
    <row r="105" customFormat="false" ht="13.8" hidden="false" customHeight="false" outlineLevel="0" collapsed="false">
      <c r="A105" s="8" t="s">
        <v>92</v>
      </c>
      <c r="B105" s="9" t="n">
        <v>1.59</v>
      </c>
      <c r="D105" s="8" t="s">
        <v>91</v>
      </c>
      <c r="E105" s="5" t="s">
        <v>51</v>
      </c>
    </row>
    <row r="106" customFormat="false" ht="13.8" hidden="false" customHeight="false" outlineLevel="0" collapsed="false">
      <c r="A106" s="8" t="s">
        <v>92</v>
      </c>
      <c r="B106" s="9" t="n">
        <v>1.59</v>
      </c>
      <c r="D106" s="8" t="s">
        <v>91</v>
      </c>
      <c r="E106" s="5" t="s">
        <v>51</v>
      </c>
    </row>
    <row r="107" customFormat="false" ht="13.8" hidden="false" customHeight="false" outlineLevel="0" collapsed="false">
      <c r="A107" s="8" t="s">
        <v>92</v>
      </c>
      <c r="B107" s="9" t="n">
        <v>1.63</v>
      </c>
      <c r="D107" s="8" t="s">
        <v>91</v>
      </c>
      <c r="E107" s="5" t="s">
        <v>51</v>
      </c>
    </row>
    <row r="108" customFormat="false" ht="13.8" hidden="false" customHeight="false" outlineLevel="0" collapsed="false">
      <c r="A108" s="8" t="s">
        <v>92</v>
      </c>
      <c r="B108" s="9" t="n">
        <v>1.69</v>
      </c>
      <c r="D108" s="8" t="s">
        <v>91</v>
      </c>
      <c r="E108" s="5" t="s">
        <v>51</v>
      </c>
    </row>
    <row r="109" customFormat="false" ht="13.8" hidden="false" customHeight="false" outlineLevel="0" collapsed="false">
      <c r="A109" s="8" t="s">
        <v>92</v>
      </c>
      <c r="B109" s="9" t="n">
        <v>1.72</v>
      </c>
      <c r="D109" s="8" t="s">
        <v>91</v>
      </c>
      <c r="E109" s="5" t="s">
        <v>51</v>
      </c>
    </row>
    <row r="110" customFormat="false" ht="13.8" hidden="false" customHeight="false" outlineLevel="0" collapsed="false">
      <c r="A110" s="8" t="s">
        <v>92</v>
      </c>
      <c r="B110" s="9" t="n">
        <v>1.76</v>
      </c>
      <c r="D110" s="8" t="s">
        <v>91</v>
      </c>
      <c r="E110" s="5" t="s">
        <v>51</v>
      </c>
    </row>
    <row r="111" customFormat="false" ht="13.8" hidden="false" customHeight="false" outlineLevel="0" collapsed="false">
      <c r="A111" s="8" t="s">
        <v>92</v>
      </c>
      <c r="B111" s="9" t="n">
        <v>0.74</v>
      </c>
      <c r="D111" s="8" t="s">
        <v>95</v>
      </c>
      <c r="E111" s="5" t="s">
        <v>51</v>
      </c>
    </row>
    <row r="112" customFormat="false" ht="13.8" hidden="false" customHeight="false" outlineLevel="0" collapsed="false">
      <c r="A112" s="8" t="s">
        <v>92</v>
      </c>
      <c r="B112" s="9" t="n">
        <v>1.061</v>
      </c>
      <c r="D112" s="8" t="s">
        <v>95</v>
      </c>
      <c r="E112" s="5" t="s">
        <v>51</v>
      </c>
    </row>
    <row r="113" customFormat="false" ht="13.8" hidden="false" customHeight="false" outlineLevel="0" collapsed="false">
      <c r="A113" s="8" t="s">
        <v>92</v>
      </c>
      <c r="B113" s="9" t="n">
        <v>1.14</v>
      </c>
      <c r="D113" s="8" t="s">
        <v>95</v>
      </c>
      <c r="E113" s="5" t="s">
        <v>51</v>
      </c>
    </row>
    <row r="114" customFormat="false" ht="13.8" hidden="false" customHeight="false" outlineLevel="0" collapsed="false">
      <c r="A114" s="8" t="s">
        <v>92</v>
      </c>
      <c r="B114" s="9" t="n">
        <v>1.34</v>
      </c>
      <c r="D114" s="8" t="s">
        <v>95</v>
      </c>
      <c r="E114" s="5" t="s">
        <v>51</v>
      </c>
    </row>
    <row r="115" customFormat="false" ht="13.8" hidden="false" customHeight="false" outlineLevel="0" collapsed="false">
      <c r="A115" s="8" t="s">
        <v>92</v>
      </c>
      <c r="B115" s="9" t="n">
        <v>1.4</v>
      </c>
      <c r="D115" s="8" t="s">
        <v>95</v>
      </c>
      <c r="E115" s="5" t="s">
        <v>51</v>
      </c>
    </row>
    <row r="116" customFormat="false" ht="13.8" hidden="false" customHeight="false" outlineLevel="0" collapsed="false">
      <c r="A116" s="8" t="s">
        <v>92</v>
      </c>
      <c r="B116" s="9" t="n">
        <v>1.44</v>
      </c>
      <c r="D116" s="8" t="s">
        <v>95</v>
      </c>
      <c r="E116" s="5" t="s">
        <v>51</v>
      </c>
    </row>
    <row r="117" customFormat="false" ht="13.8" hidden="false" customHeight="false" outlineLevel="0" collapsed="false">
      <c r="A117" s="8" t="s">
        <v>92</v>
      </c>
      <c r="B117" s="9" t="n">
        <v>1.44</v>
      </c>
      <c r="D117" s="8" t="s">
        <v>95</v>
      </c>
      <c r="E117" s="5" t="s">
        <v>51</v>
      </c>
    </row>
    <row r="118" customFormat="false" ht="13.8" hidden="false" customHeight="false" outlineLevel="0" collapsed="false">
      <c r="A118" s="8" t="s">
        <v>92</v>
      </c>
      <c r="B118" s="9" t="n">
        <v>1.46</v>
      </c>
      <c r="D118" s="8" t="s">
        <v>95</v>
      </c>
      <c r="E118" s="5" t="s">
        <v>51</v>
      </c>
    </row>
    <row r="119" customFormat="false" ht="13.8" hidden="false" customHeight="false" outlineLevel="0" collapsed="false">
      <c r="A119" s="8" t="s">
        <v>92</v>
      </c>
      <c r="B119" s="9" t="n">
        <v>1.506</v>
      </c>
      <c r="D119" s="8" t="s">
        <v>95</v>
      </c>
      <c r="E119" s="5" t="s">
        <v>51</v>
      </c>
    </row>
    <row r="120" customFormat="false" ht="13.8" hidden="false" customHeight="false" outlineLevel="0" collapsed="false">
      <c r="A120" s="8" t="s">
        <v>92</v>
      </c>
      <c r="B120" s="9" t="n">
        <v>1.63</v>
      </c>
      <c r="D120" s="8" t="s">
        <v>117</v>
      </c>
      <c r="E120" s="5" t="s">
        <v>51</v>
      </c>
    </row>
    <row r="121" customFormat="false" ht="13.8" hidden="false" customHeight="false" outlineLevel="0" collapsed="false">
      <c r="A121" s="8" t="s">
        <v>92</v>
      </c>
      <c r="B121" s="9" t="n">
        <v>1.64</v>
      </c>
      <c r="D121" s="8" t="s">
        <v>118</v>
      </c>
      <c r="E121" s="5" t="s">
        <v>51</v>
      </c>
    </row>
    <row r="122" customFormat="false" ht="13.8" hidden="false" customHeight="false" outlineLevel="0" collapsed="false">
      <c r="A122" s="8" t="s">
        <v>92</v>
      </c>
      <c r="B122" s="9" t="n">
        <v>0.75264</v>
      </c>
      <c r="D122" s="8" t="s">
        <v>119</v>
      </c>
      <c r="E122" s="5" t="s">
        <v>51</v>
      </c>
    </row>
    <row r="123" customFormat="false" ht="13.8" hidden="false" customHeight="false" outlineLevel="0" collapsed="false">
      <c r="A123" s="8" t="s">
        <v>92</v>
      </c>
      <c r="B123" s="9" t="n">
        <v>0.977</v>
      </c>
      <c r="D123" s="8" t="s">
        <v>119</v>
      </c>
      <c r="E123" s="5" t="s">
        <v>51</v>
      </c>
    </row>
    <row r="124" customFormat="false" ht="13.8" hidden="false" customHeight="false" outlineLevel="0" collapsed="false">
      <c r="A124" s="8" t="s">
        <v>92</v>
      </c>
      <c r="B124" s="9" t="n">
        <v>0.980908</v>
      </c>
      <c r="D124" s="8" t="s">
        <v>119</v>
      </c>
      <c r="E124" s="5" t="s">
        <v>51</v>
      </c>
    </row>
    <row r="125" customFormat="false" ht="13.8" hidden="false" customHeight="false" outlineLevel="0" collapsed="false">
      <c r="A125" s="8" t="s">
        <v>92</v>
      </c>
      <c r="B125" s="9" t="n">
        <v>1.0143</v>
      </c>
      <c r="D125" s="8" t="s">
        <v>119</v>
      </c>
      <c r="E125" s="5" t="s">
        <v>51</v>
      </c>
    </row>
    <row r="126" customFormat="false" ht="13.8" hidden="false" customHeight="false" outlineLevel="0" collapsed="false">
      <c r="A126" s="8" t="s">
        <v>92</v>
      </c>
      <c r="B126" s="9" t="n">
        <v>1.1674</v>
      </c>
      <c r="D126" s="8" t="s">
        <v>119</v>
      </c>
      <c r="E126" s="5" t="s">
        <v>51</v>
      </c>
    </row>
    <row r="127" customFormat="false" ht="13.8" hidden="false" customHeight="false" outlineLevel="0" collapsed="false">
      <c r="A127" s="8" t="s">
        <v>92</v>
      </c>
      <c r="B127" s="9" t="n">
        <v>1.18</v>
      </c>
      <c r="D127" s="8" t="s">
        <v>119</v>
      </c>
      <c r="E127" s="5" t="s">
        <v>51</v>
      </c>
    </row>
    <row r="128" customFormat="false" ht="13.8" hidden="false" customHeight="false" outlineLevel="0" collapsed="false">
      <c r="A128" s="8" t="s">
        <v>92</v>
      </c>
      <c r="B128" s="9" t="n">
        <v>1.216</v>
      </c>
      <c r="D128" s="8" t="s">
        <v>119</v>
      </c>
      <c r="E128" s="5" t="s">
        <v>51</v>
      </c>
    </row>
    <row r="129" customFormat="false" ht="13.8" hidden="false" customHeight="false" outlineLevel="0" collapsed="false">
      <c r="A129" s="8" t="s">
        <v>92</v>
      </c>
      <c r="B129" s="9" t="n">
        <v>1.23</v>
      </c>
      <c r="D129" s="8" t="s">
        <v>119</v>
      </c>
      <c r="E129" s="5" t="s">
        <v>51</v>
      </c>
    </row>
    <row r="130" customFormat="false" ht="13.8" hidden="false" customHeight="false" outlineLevel="0" collapsed="false">
      <c r="A130" s="8" t="s">
        <v>92</v>
      </c>
      <c r="B130" s="9" t="n">
        <v>1.23</v>
      </c>
      <c r="D130" s="8" t="s">
        <v>119</v>
      </c>
      <c r="E130" s="5" t="s">
        <v>51</v>
      </c>
    </row>
    <row r="131" customFormat="false" ht="13.8" hidden="false" customHeight="false" outlineLevel="0" collapsed="false">
      <c r="A131" s="8" t="s">
        <v>92</v>
      </c>
      <c r="B131" s="9" t="n">
        <v>1.243</v>
      </c>
      <c r="D131" s="8" t="s">
        <v>119</v>
      </c>
      <c r="E131" s="5" t="s">
        <v>51</v>
      </c>
    </row>
    <row r="132" customFormat="false" ht="13.8" hidden="false" customHeight="false" outlineLevel="0" collapsed="false">
      <c r="A132" s="8" t="s">
        <v>92</v>
      </c>
      <c r="B132" s="9" t="n">
        <v>1.2441</v>
      </c>
      <c r="D132" s="8" t="s">
        <v>119</v>
      </c>
      <c r="E132" s="5" t="s">
        <v>51</v>
      </c>
    </row>
    <row r="133" customFormat="false" ht="13.8" hidden="false" customHeight="false" outlineLevel="0" collapsed="false">
      <c r="A133" s="8" t="s">
        <v>92</v>
      </c>
      <c r="B133" s="9" t="n">
        <v>1.26</v>
      </c>
      <c r="D133" s="8" t="s">
        <v>119</v>
      </c>
      <c r="E133" s="5" t="s">
        <v>51</v>
      </c>
    </row>
    <row r="134" customFormat="false" ht="13.8" hidden="false" customHeight="false" outlineLevel="0" collapsed="false">
      <c r="A134" s="8" t="s">
        <v>92</v>
      </c>
      <c r="B134" s="9" t="n">
        <v>1.266</v>
      </c>
      <c r="D134" s="8" t="s">
        <v>119</v>
      </c>
      <c r="E134" s="5" t="s">
        <v>51</v>
      </c>
    </row>
    <row r="135" customFormat="false" ht="13.8" hidden="false" customHeight="false" outlineLevel="0" collapsed="false">
      <c r="A135" s="8" t="s">
        <v>92</v>
      </c>
      <c r="B135" s="9" t="n">
        <v>1.289</v>
      </c>
      <c r="D135" s="8" t="s">
        <v>119</v>
      </c>
      <c r="E135" s="5" t="s">
        <v>51</v>
      </c>
    </row>
    <row r="136" customFormat="false" ht="13.8" hidden="false" customHeight="false" outlineLevel="0" collapsed="false">
      <c r="A136" s="8" t="s">
        <v>92</v>
      </c>
      <c r="B136" s="9" t="n">
        <v>1.5</v>
      </c>
      <c r="D136" s="8" t="s">
        <v>119</v>
      </c>
      <c r="E136" s="5" t="s">
        <v>51</v>
      </c>
    </row>
    <row r="137" customFormat="false" ht="13.8" hidden="false" customHeight="false" outlineLevel="0" collapsed="false">
      <c r="A137" s="8" t="s">
        <v>92</v>
      </c>
      <c r="B137" s="9" t="n">
        <v>1.77</v>
      </c>
      <c r="D137" s="8" t="s">
        <v>119</v>
      </c>
      <c r="E137" s="5" t="s">
        <v>51</v>
      </c>
    </row>
    <row r="138" customFormat="false" ht="13.8" hidden="false" customHeight="false" outlineLevel="0" collapsed="false">
      <c r="A138" s="8" t="s">
        <v>92</v>
      </c>
      <c r="B138" s="9" t="n">
        <v>1.06</v>
      </c>
      <c r="D138" s="8" t="s">
        <v>102</v>
      </c>
      <c r="E138" s="5" t="s">
        <v>51</v>
      </c>
    </row>
    <row r="139" customFormat="false" ht="13.8" hidden="false" customHeight="false" outlineLevel="0" collapsed="false">
      <c r="A139" s="8" t="s">
        <v>92</v>
      </c>
      <c r="B139" s="9" t="n">
        <v>1.196</v>
      </c>
      <c r="D139" s="8" t="s">
        <v>102</v>
      </c>
      <c r="E139" s="5" t="s">
        <v>51</v>
      </c>
    </row>
    <row r="140" customFormat="false" ht="13.8" hidden="false" customHeight="false" outlineLevel="0" collapsed="false">
      <c r="A140" s="8" t="s">
        <v>92</v>
      </c>
      <c r="B140" s="9" t="n">
        <v>1.24</v>
      </c>
      <c r="D140" s="8" t="s">
        <v>102</v>
      </c>
      <c r="E140" s="5" t="s">
        <v>51</v>
      </c>
    </row>
    <row r="141" customFormat="false" ht="13.8" hidden="false" customHeight="false" outlineLevel="0" collapsed="false">
      <c r="A141" s="8" t="s">
        <v>92</v>
      </c>
      <c r="B141" s="9" t="n">
        <v>1.26</v>
      </c>
      <c r="D141" s="8" t="s">
        <v>102</v>
      </c>
      <c r="E141" s="5" t="s">
        <v>51</v>
      </c>
    </row>
    <row r="142" customFormat="false" ht="13.8" hidden="false" customHeight="false" outlineLevel="0" collapsed="false">
      <c r="A142" s="8" t="s">
        <v>92</v>
      </c>
      <c r="B142" s="9" t="n">
        <v>1.26</v>
      </c>
      <c r="D142" s="8" t="s">
        <v>102</v>
      </c>
      <c r="E142" s="5" t="s">
        <v>51</v>
      </c>
    </row>
    <row r="143" customFormat="false" ht="13.8" hidden="false" customHeight="false" outlineLevel="0" collapsed="false">
      <c r="A143" s="8" t="s">
        <v>92</v>
      </c>
      <c r="B143" s="9" t="n">
        <v>1.271</v>
      </c>
      <c r="D143" s="8" t="s">
        <v>102</v>
      </c>
      <c r="E143" s="5" t="s">
        <v>51</v>
      </c>
    </row>
    <row r="144" customFormat="false" ht="13.8" hidden="false" customHeight="false" outlineLevel="0" collapsed="false">
      <c r="A144" s="8" t="s">
        <v>92</v>
      </c>
      <c r="B144" s="9" t="n">
        <v>1.31</v>
      </c>
      <c r="D144" s="8" t="s">
        <v>102</v>
      </c>
      <c r="E144" s="5" t="s">
        <v>51</v>
      </c>
    </row>
    <row r="145" customFormat="false" ht="13.8" hidden="false" customHeight="false" outlineLevel="0" collapsed="false">
      <c r="A145" s="8" t="s">
        <v>92</v>
      </c>
      <c r="B145" s="9" t="n">
        <v>1.32</v>
      </c>
      <c r="D145" s="8" t="s">
        <v>102</v>
      </c>
      <c r="E145" s="5" t="s">
        <v>51</v>
      </c>
    </row>
    <row r="146" customFormat="false" ht="13.8" hidden="false" customHeight="false" outlineLevel="0" collapsed="false">
      <c r="A146" s="8" t="s">
        <v>92</v>
      </c>
      <c r="B146" s="9" t="n">
        <v>1.37</v>
      </c>
      <c r="D146" s="8" t="s">
        <v>102</v>
      </c>
      <c r="E146" s="5" t="s">
        <v>51</v>
      </c>
    </row>
    <row r="147" customFormat="false" ht="13.8" hidden="false" customHeight="false" outlineLevel="0" collapsed="false">
      <c r="A147" s="8" t="s">
        <v>92</v>
      </c>
      <c r="B147" s="9" t="n">
        <v>1.38</v>
      </c>
      <c r="D147" s="8" t="s">
        <v>102</v>
      </c>
      <c r="E147" s="5" t="s">
        <v>51</v>
      </c>
    </row>
    <row r="148" customFormat="false" ht="13.8" hidden="false" customHeight="false" outlineLevel="0" collapsed="false">
      <c r="A148" s="8" t="s">
        <v>92</v>
      </c>
      <c r="B148" s="9" t="n">
        <v>1.399</v>
      </c>
      <c r="D148" s="8" t="s">
        <v>102</v>
      </c>
      <c r="E148" s="5" t="s">
        <v>51</v>
      </c>
    </row>
    <row r="149" customFormat="false" ht="13.8" hidden="false" customHeight="false" outlineLevel="0" collapsed="false">
      <c r="A149" s="8" t="s">
        <v>92</v>
      </c>
      <c r="B149" s="9" t="n">
        <v>1.42</v>
      </c>
      <c r="D149" s="8" t="s">
        <v>102</v>
      </c>
      <c r="E149" s="5" t="s">
        <v>51</v>
      </c>
    </row>
    <row r="150" customFormat="false" ht="13.8" hidden="false" customHeight="false" outlineLevel="0" collapsed="false">
      <c r="A150" s="8" t="s">
        <v>92</v>
      </c>
      <c r="B150" s="9" t="n">
        <v>1.44</v>
      </c>
      <c r="D150" s="8" t="s">
        <v>102</v>
      </c>
      <c r="E150" s="5" t="s">
        <v>51</v>
      </c>
    </row>
    <row r="151" customFormat="false" ht="13.8" hidden="false" customHeight="false" outlineLevel="0" collapsed="false">
      <c r="A151" s="8" t="s">
        <v>92</v>
      </c>
      <c r="B151" s="9" t="n">
        <v>1.44</v>
      </c>
      <c r="D151" s="8" t="s">
        <v>102</v>
      </c>
      <c r="E151" s="5" t="s">
        <v>51</v>
      </c>
    </row>
    <row r="152" customFormat="false" ht="13.8" hidden="false" customHeight="false" outlineLevel="0" collapsed="false">
      <c r="A152" s="8" t="s">
        <v>92</v>
      </c>
      <c r="B152" s="9" t="n">
        <v>1.44</v>
      </c>
      <c r="D152" s="8" t="s">
        <v>102</v>
      </c>
      <c r="E152" s="5" t="s">
        <v>51</v>
      </c>
    </row>
    <row r="153" customFormat="false" ht="13.8" hidden="false" customHeight="false" outlineLevel="0" collapsed="false">
      <c r="A153" s="8" t="s">
        <v>92</v>
      </c>
      <c r="B153" s="9" t="n">
        <v>1.49</v>
      </c>
      <c r="D153" s="8" t="s">
        <v>102</v>
      </c>
      <c r="E153" s="5" t="s">
        <v>51</v>
      </c>
    </row>
    <row r="154" customFormat="false" ht="13.8" hidden="false" customHeight="false" outlineLevel="0" collapsed="false">
      <c r="A154" s="8" t="s">
        <v>92</v>
      </c>
      <c r="B154" s="9" t="n">
        <v>1.49</v>
      </c>
      <c r="D154" s="8" t="s">
        <v>102</v>
      </c>
      <c r="E154" s="5" t="s">
        <v>51</v>
      </c>
    </row>
    <row r="155" customFormat="false" ht="13.8" hidden="false" customHeight="false" outlineLevel="0" collapsed="false">
      <c r="A155" s="8" t="s">
        <v>92</v>
      </c>
      <c r="B155" s="9" t="n">
        <v>1.5</v>
      </c>
      <c r="D155" s="8" t="s">
        <v>102</v>
      </c>
      <c r="E155" s="5" t="s">
        <v>51</v>
      </c>
    </row>
    <row r="156" customFormat="false" ht="13.8" hidden="false" customHeight="false" outlineLevel="0" collapsed="false">
      <c r="A156" s="8" t="s">
        <v>92</v>
      </c>
      <c r="B156" s="9" t="n">
        <v>1.54</v>
      </c>
      <c r="D156" s="8" t="s">
        <v>102</v>
      </c>
      <c r="E156" s="5" t="s">
        <v>51</v>
      </c>
    </row>
    <row r="157" customFormat="false" ht="13.8" hidden="false" customHeight="false" outlineLevel="0" collapsed="false">
      <c r="A157" s="8" t="s">
        <v>92</v>
      </c>
      <c r="B157" s="9" t="n">
        <v>1.54</v>
      </c>
      <c r="D157" s="8" t="s">
        <v>102</v>
      </c>
      <c r="E157" s="5" t="s">
        <v>51</v>
      </c>
    </row>
    <row r="158" customFormat="false" ht="13.8" hidden="false" customHeight="false" outlineLevel="0" collapsed="false">
      <c r="A158" s="8" t="s">
        <v>92</v>
      </c>
      <c r="B158" s="9" t="n">
        <v>1.62</v>
      </c>
      <c r="D158" s="8" t="s">
        <v>102</v>
      </c>
      <c r="E158" s="5" t="s">
        <v>51</v>
      </c>
    </row>
    <row r="159" customFormat="false" ht="13.8" hidden="false" customHeight="false" outlineLevel="0" collapsed="false">
      <c r="A159" s="8" t="s">
        <v>92</v>
      </c>
      <c r="B159" s="9" t="n">
        <v>2.05</v>
      </c>
      <c r="D159" s="8" t="s">
        <v>102</v>
      </c>
      <c r="E159" s="5" t="s">
        <v>51</v>
      </c>
    </row>
    <row r="160" customFormat="false" ht="13.8" hidden="false" customHeight="false" outlineLevel="0" collapsed="false">
      <c r="A160" s="8" t="s">
        <v>92</v>
      </c>
      <c r="B160" s="9" t="n">
        <v>1.74</v>
      </c>
      <c r="D160" s="8" t="s">
        <v>120</v>
      </c>
      <c r="E160" s="5" t="s">
        <v>51</v>
      </c>
    </row>
    <row r="161" customFormat="false" ht="13.8" hidden="false" customHeight="false" outlineLevel="0" collapsed="false">
      <c r="A161" s="8" t="s">
        <v>92</v>
      </c>
      <c r="B161" s="9" t="n">
        <v>1.46</v>
      </c>
      <c r="D161" s="8" t="s">
        <v>121</v>
      </c>
      <c r="E161" s="5" t="s">
        <v>51</v>
      </c>
    </row>
    <row r="162" customFormat="false" ht="13.8" hidden="false" customHeight="false" outlineLevel="0" collapsed="false">
      <c r="A162" s="8" t="s">
        <v>92</v>
      </c>
      <c r="B162" s="9" t="n">
        <v>1.38</v>
      </c>
      <c r="D162" s="8" t="s">
        <v>122</v>
      </c>
      <c r="E162" s="5" t="s">
        <v>51</v>
      </c>
    </row>
    <row r="163" customFormat="false" ht="13.8" hidden="false" customHeight="false" outlineLevel="0" collapsed="false">
      <c r="A163" s="8" t="s">
        <v>92</v>
      </c>
      <c r="B163" s="9" t="n">
        <v>1.42</v>
      </c>
      <c r="D163" s="8" t="s">
        <v>123</v>
      </c>
      <c r="E163" s="5" t="s">
        <v>51</v>
      </c>
    </row>
    <row r="164" customFormat="false" ht="13.8" hidden="false" customHeight="false" outlineLevel="0" collapsed="false">
      <c r="A164" s="8" t="s">
        <v>92</v>
      </c>
      <c r="B164" s="9" t="n">
        <v>1.47</v>
      </c>
      <c r="D164" s="8" t="s">
        <v>123</v>
      </c>
      <c r="E164" s="5" t="s">
        <v>51</v>
      </c>
    </row>
    <row r="165" customFormat="false" ht="13.8" hidden="false" customHeight="false" outlineLevel="0" collapsed="false">
      <c r="A165" s="8" t="s">
        <v>92</v>
      </c>
      <c r="B165" s="9" t="n">
        <v>0.77</v>
      </c>
      <c r="D165" s="8" t="s">
        <v>103</v>
      </c>
      <c r="E165" s="5" t="s">
        <v>51</v>
      </c>
    </row>
    <row r="166" customFormat="false" ht="13.8" hidden="false" customHeight="false" outlineLevel="0" collapsed="false">
      <c r="A166" s="8" t="s">
        <v>92</v>
      </c>
      <c r="B166" s="9" t="n">
        <v>0.84</v>
      </c>
      <c r="D166" s="8" t="s">
        <v>103</v>
      </c>
      <c r="E166" s="5" t="s">
        <v>51</v>
      </c>
    </row>
    <row r="167" customFormat="false" ht="13.8" hidden="false" customHeight="false" outlineLevel="0" collapsed="false">
      <c r="A167" s="8" t="s">
        <v>92</v>
      </c>
      <c r="B167" s="9" t="n">
        <v>1.01</v>
      </c>
      <c r="D167" s="8" t="s">
        <v>103</v>
      </c>
      <c r="E167" s="5" t="s">
        <v>51</v>
      </c>
    </row>
    <row r="168" customFormat="false" ht="13.8" hidden="false" customHeight="false" outlineLevel="0" collapsed="false">
      <c r="A168" s="8" t="s">
        <v>92</v>
      </c>
      <c r="B168" s="9" t="n">
        <v>1.041</v>
      </c>
      <c r="D168" s="8" t="s">
        <v>103</v>
      </c>
      <c r="E168" s="5" t="s">
        <v>51</v>
      </c>
    </row>
    <row r="169" customFormat="false" ht="13.8" hidden="false" customHeight="false" outlineLevel="0" collapsed="false">
      <c r="A169" s="8" t="s">
        <v>92</v>
      </c>
      <c r="B169" s="9" t="n">
        <v>1.1</v>
      </c>
      <c r="D169" s="8" t="s">
        <v>103</v>
      </c>
      <c r="E169" s="5" t="s">
        <v>51</v>
      </c>
    </row>
    <row r="170" customFormat="false" ht="13.8" hidden="false" customHeight="false" outlineLevel="0" collapsed="false">
      <c r="A170" s="8" t="s">
        <v>92</v>
      </c>
      <c r="B170" s="9" t="n">
        <v>1.177</v>
      </c>
      <c r="D170" s="8" t="s">
        <v>103</v>
      </c>
      <c r="E170" s="5" t="s">
        <v>51</v>
      </c>
    </row>
    <row r="171" customFormat="false" ht="13.8" hidden="false" customHeight="false" outlineLevel="0" collapsed="false">
      <c r="A171" s="8" t="s">
        <v>92</v>
      </c>
      <c r="B171" s="9" t="n">
        <v>1.2</v>
      </c>
      <c r="D171" s="8" t="s">
        <v>103</v>
      </c>
      <c r="E171" s="5" t="s">
        <v>51</v>
      </c>
    </row>
    <row r="172" customFormat="false" ht="13.8" hidden="false" customHeight="false" outlineLevel="0" collapsed="false">
      <c r="A172" s="8" t="s">
        <v>92</v>
      </c>
      <c r="B172" s="9" t="n">
        <v>1.21</v>
      </c>
      <c r="D172" s="8" t="s">
        <v>103</v>
      </c>
      <c r="E172" s="5" t="s">
        <v>51</v>
      </c>
    </row>
    <row r="173" customFormat="false" ht="13.8" hidden="false" customHeight="false" outlineLevel="0" collapsed="false">
      <c r="A173" s="8" t="s">
        <v>92</v>
      </c>
      <c r="B173" s="9" t="n">
        <v>1.222</v>
      </c>
      <c r="D173" s="8" t="s">
        <v>103</v>
      </c>
      <c r="E173" s="5" t="s">
        <v>51</v>
      </c>
    </row>
    <row r="174" customFormat="false" ht="13.8" hidden="false" customHeight="false" outlineLevel="0" collapsed="false">
      <c r="A174" s="8" t="s">
        <v>92</v>
      </c>
      <c r="B174" s="9" t="n">
        <v>1.25</v>
      </c>
      <c r="D174" s="8" t="s">
        <v>103</v>
      </c>
      <c r="E174" s="5" t="s">
        <v>51</v>
      </c>
    </row>
    <row r="175" customFormat="false" ht="13.8" hidden="false" customHeight="false" outlineLevel="0" collapsed="false">
      <c r="A175" s="8" t="s">
        <v>92</v>
      </c>
      <c r="B175" s="9" t="n">
        <v>1.29</v>
      </c>
      <c r="D175" s="8" t="s">
        <v>103</v>
      </c>
      <c r="E175" s="5" t="s">
        <v>51</v>
      </c>
    </row>
    <row r="176" customFormat="false" ht="13.8" hidden="false" customHeight="false" outlineLevel="0" collapsed="false">
      <c r="A176" s="8" t="s">
        <v>92</v>
      </c>
      <c r="B176" s="9" t="n">
        <v>1.31</v>
      </c>
      <c r="D176" s="8" t="s">
        <v>103</v>
      </c>
      <c r="E176" s="5" t="s">
        <v>51</v>
      </c>
    </row>
    <row r="177" customFormat="false" ht="13.8" hidden="false" customHeight="false" outlineLevel="0" collapsed="false">
      <c r="A177" s="8" t="s">
        <v>92</v>
      </c>
      <c r="B177" s="9" t="n">
        <v>1.44</v>
      </c>
      <c r="D177" s="8" t="s">
        <v>103</v>
      </c>
      <c r="E177" s="5" t="s">
        <v>51</v>
      </c>
    </row>
    <row r="178" customFormat="false" ht="13.8" hidden="false" customHeight="false" outlineLevel="0" collapsed="false">
      <c r="A178" s="8" t="s">
        <v>92</v>
      </c>
      <c r="B178" s="9" t="n">
        <v>1.54</v>
      </c>
      <c r="D178" s="8" t="s">
        <v>103</v>
      </c>
      <c r="E178" s="5" t="s">
        <v>51</v>
      </c>
    </row>
    <row r="179" customFormat="false" ht="13.8" hidden="false" customHeight="false" outlineLevel="0" collapsed="false">
      <c r="A179" s="8" t="s">
        <v>92</v>
      </c>
      <c r="B179" s="9" t="n">
        <v>1.7</v>
      </c>
      <c r="D179" s="8" t="s">
        <v>103</v>
      </c>
      <c r="E179" s="5" t="s">
        <v>51</v>
      </c>
    </row>
    <row r="180" customFormat="false" ht="13.8" hidden="false" customHeight="false" outlineLevel="0" collapsed="false">
      <c r="A180" s="8" t="s">
        <v>92</v>
      </c>
      <c r="B180" s="9" t="n">
        <v>1.75</v>
      </c>
      <c r="D180" s="8" t="s">
        <v>103</v>
      </c>
      <c r="E180" s="5" t="s">
        <v>51</v>
      </c>
    </row>
    <row r="181" customFormat="false" ht="13.8" hidden="false" customHeight="false" outlineLevel="0" collapsed="false">
      <c r="A181" s="8" t="s">
        <v>92</v>
      </c>
      <c r="B181" s="9" t="n">
        <v>1.77</v>
      </c>
      <c r="D181" s="8" t="s">
        <v>103</v>
      </c>
      <c r="E181" s="5" t="s">
        <v>51</v>
      </c>
    </row>
    <row r="182" customFormat="false" ht="13.8" hidden="false" customHeight="false" outlineLevel="0" collapsed="false">
      <c r="A182" s="8" t="s">
        <v>92</v>
      </c>
      <c r="B182" s="9" t="n">
        <v>1.77</v>
      </c>
      <c r="D182" s="8" t="s">
        <v>103</v>
      </c>
      <c r="E182" s="5" t="s">
        <v>51</v>
      </c>
    </row>
    <row r="183" customFormat="false" ht="13.8" hidden="false" customHeight="false" outlineLevel="0" collapsed="false">
      <c r="A183" s="8" t="s">
        <v>92</v>
      </c>
      <c r="B183" s="9" t="n">
        <v>1.81</v>
      </c>
      <c r="D183" s="8" t="s">
        <v>103</v>
      </c>
      <c r="E183" s="5" t="s">
        <v>51</v>
      </c>
    </row>
    <row r="184" customFormat="false" ht="13.8" hidden="false" customHeight="false" outlineLevel="0" collapsed="false">
      <c r="A184" s="8" t="s">
        <v>92</v>
      </c>
      <c r="B184" s="9" t="n">
        <v>0.54</v>
      </c>
      <c r="D184" s="8" t="s">
        <v>124</v>
      </c>
      <c r="E184" s="5" t="s">
        <v>51</v>
      </c>
    </row>
    <row r="185" customFormat="false" ht="13.8" hidden="false" customHeight="false" outlineLevel="0" collapsed="false">
      <c r="A185" s="8" t="s">
        <v>92</v>
      </c>
      <c r="B185" s="9" t="n">
        <v>0.55</v>
      </c>
      <c r="D185" s="8" t="s">
        <v>124</v>
      </c>
      <c r="E185" s="5" t="s">
        <v>51</v>
      </c>
    </row>
    <row r="186" customFormat="false" ht="13.8" hidden="false" customHeight="false" outlineLevel="0" collapsed="false">
      <c r="A186" s="8" t="s">
        <v>92</v>
      </c>
      <c r="B186" s="9" t="n">
        <v>0.62</v>
      </c>
      <c r="D186" s="8" t="s">
        <v>124</v>
      </c>
      <c r="E186" s="5" t="s">
        <v>51</v>
      </c>
    </row>
    <row r="187" customFormat="false" ht="13.8" hidden="false" customHeight="false" outlineLevel="0" collapsed="false">
      <c r="A187" s="8" t="s">
        <v>92</v>
      </c>
      <c r="B187" s="9" t="n">
        <v>1.54</v>
      </c>
      <c r="D187" s="8" t="s">
        <v>124</v>
      </c>
      <c r="E187" s="5" t="s">
        <v>51</v>
      </c>
    </row>
    <row r="188" customFormat="false" ht="13.8" hidden="false" customHeight="false" outlineLevel="0" collapsed="false">
      <c r="A188" s="8" t="s">
        <v>92</v>
      </c>
      <c r="B188" s="9" t="n">
        <v>1.64</v>
      </c>
      <c r="D188" s="8" t="s">
        <v>124</v>
      </c>
      <c r="E188" s="5" t="s">
        <v>51</v>
      </c>
    </row>
    <row r="189" customFormat="false" ht="13.8" hidden="false" customHeight="false" outlineLevel="0" collapsed="false">
      <c r="A189" s="8" t="s">
        <v>92</v>
      </c>
      <c r="B189" s="9" t="n">
        <v>1.74</v>
      </c>
      <c r="D189" s="8" t="s">
        <v>124</v>
      </c>
      <c r="E189" s="5" t="s">
        <v>51</v>
      </c>
    </row>
    <row r="190" customFormat="false" ht="13.8" hidden="false" customHeight="false" outlineLevel="0" collapsed="false">
      <c r="A190" s="8" t="s">
        <v>92</v>
      </c>
      <c r="B190" s="9" t="n">
        <v>1.78</v>
      </c>
      <c r="D190" s="8" t="s">
        <v>125</v>
      </c>
      <c r="E190" s="5" t="s">
        <v>51</v>
      </c>
    </row>
    <row r="191" customFormat="false" ht="13.8" hidden="false" customHeight="false" outlineLevel="0" collapsed="false">
      <c r="A191" s="8" t="s">
        <v>92</v>
      </c>
      <c r="B191" s="9" t="n">
        <v>0.74</v>
      </c>
      <c r="D191" s="8" t="s">
        <v>126</v>
      </c>
      <c r="E191" s="5" t="s">
        <v>51</v>
      </c>
    </row>
    <row r="192" customFormat="false" ht="13.8" hidden="false" customHeight="false" outlineLevel="0" collapsed="false">
      <c r="A192" s="8" t="s">
        <v>92</v>
      </c>
      <c r="B192" s="9" t="n">
        <v>0.75</v>
      </c>
      <c r="D192" s="8" t="s">
        <v>127</v>
      </c>
      <c r="E192" s="5" t="s">
        <v>51</v>
      </c>
    </row>
    <row r="193" customFormat="false" ht="13.8" hidden="false" customHeight="false" outlineLevel="0" collapsed="false">
      <c r="A193" s="8" t="s">
        <v>92</v>
      </c>
      <c r="B193" s="9" t="n">
        <v>0.75</v>
      </c>
      <c r="D193" s="8" t="s">
        <v>126</v>
      </c>
      <c r="E193" s="5" t="s">
        <v>51</v>
      </c>
    </row>
    <row r="194" customFormat="false" ht="13.8" hidden="false" customHeight="false" outlineLevel="0" collapsed="false">
      <c r="A194" s="8" t="s">
        <v>92</v>
      </c>
      <c r="B194" s="9" t="n">
        <v>0.87</v>
      </c>
      <c r="D194" s="8" t="s">
        <v>126</v>
      </c>
      <c r="E194" s="5" t="s">
        <v>51</v>
      </c>
    </row>
    <row r="195" customFormat="false" ht="13.8" hidden="false" customHeight="false" outlineLevel="0" collapsed="false">
      <c r="A195" s="8" t="s">
        <v>92</v>
      </c>
      <c r="B195" s="9" t="n">
        <v>1.161</v>
      </c>
      <c r="D195" s="8" t="s">
        <v>127</v>
      </c>
      <c r="E195" s="5" t="s">
        <v>51</v>
      </c>
    </row>
    <row r="196" customFormat="false" ht="13.8" hidden="false" customHeight="false" outlineLevel="0" collapsed="false">
      <c r="A196" s="8" t="s">
        <v>92</v>
      </c>
      <c r="B196" s="9" t="n">
        <v>1.49</v>
      </c>
      <c r="D196" s="8" t="s">
        <v>126</v>
      </c>
      <c r="E196" s="5" t="s">
        <v>51</v>
      </c>
    </row>
    <row r="197" customFormat="false" ht="13.8" hidden="false" customHeight="false" outlineLevel="0" collapsed="false">
      <c r="A197" s="8" t="s">
        <v>92</v>
      </c>
      <c r="B197" s="9" t="n">
        <v>1.72</v>
      </c>
      <c r="D197" s="8" t="s">
        <v>128</v>
      </c>
      <c r="E197" s="5" t="s">
        <v>51</v>
      </c>
    </row>
    <row r="198" customFormat="false" ht="13.8" hidden="false" customHeight="false" outlineLevel="0" collapsed="false">
      <c r="A198" s="8" t="s">
        <v>92</v>
      </c>
      <c r="B198" s="9" t="n">
        <v>1.36</v>
      </c>
      <c r="D198" s="8" t="s">
        <v>129</v>
      </c>
      <c r="E198" s="5" t="s">
        <v>51</v>
      </c>
    </row>
    <row r="199" customFormat="false" ht="13.8" hidden="false" customHeight="false" outlineLevel="0" collapsed="false">
      <c r="A199" s="8" t="s">
        <v>92</v>
      </c>
      <c r="B199" s="9" t="n">
        <v>1.4</v>
      </c>
      <c r="D199" s="8" t="s">
        <v>130</v>
      </c>
      <c r="E199" s="5" t="s">
        <v>51</v>
      </c>
    </row>
    <row r="200" customFormat="false" ht="13.8" hidden="false" customHeight="false" outlineLevel="0" collapsed="false">
      <c r="A200" s="8" t="s">
        <v>92</v>
      </c>
      <c r="B200" s="9" t="n">
        <v>1.05</v>
      </c>
      <c r="D200" s="8" t="s">
        <v>96</v>
      </c>
      <c r="E200" s="5" t="s">
        <v>51</v>
      </c>
    </row>
    <row r="201" customFormat="false" ht="13.8" hidden="false" customHeight="false" outlineLevel="0" collapsed="false">
      <c r="A201" s="8" t="s">
        <v>92</v>
      </c>
      <c r="B201" s="9" t="n">
        <v>1.35</v>
      </c>
      <c r="D201" s="8" t="s">
        <v>96</v>
      </c>
      <c r="E201" s="5" t="s">
        <v>51</v>
      </c>
    </row>
    <row r="202" customFormat="false" ht="13.8" hidden="false" customHeight="false" outlineLevel="0" collapsed="false">
      <c r="A202" s="8" t="s">
        <v>92</v>
      </c>
      <c r="B202" s="9" t="n">
        <v>0.95</v>
      </c>
      <c r="D202" s="8" t="s">
        <v>131</v>
      </c>
      <c r="E202" s="5" t="s">
        <v>51</v>
      </c>
    </row>
    <row r="203" customFormat="false" ht="13.8" hidden="false" customHeight="false" outlineLevel="0" collapsed="false">
      <c r="A203" s="8" t="s">
        <v>92</v>
      </c>
      <c r="B203" s="9" t="n">
        <v>1.09</v>
      </c>
      <c r="D203" s="8" t="s">
        <v>131</v>
      </c>
      <c r="E203" s="5" t="s">
        <v>51</v>
      </c>
    </row>
    <row r="204" customFormat="false" ht="13.8" hidden="false" customHeight="false" outlineLevel="0" collapsed="false">
      <c r="A204" s="8" t="s">
        <v>92</v>
      </c>
      <c r="B204" s="9" t="n">
        <v>1.1</v>
      </c>
      <c r="D204" s="8" t="s">
        <v>131</v>
      </c>
      <c r="E204" s="5" t="s">
        <v>51</v>
      </c>
    </row>
    <row r="205" customFormat="false" ht="13.8" hidden="false" customHeight="false" outlineLevel="0" collapsed="false">
      <c r="A205" s="8" t="s">
        <v>92</v>
      </c>
      <c r="B205" s="9" t="n">
        <v>1.14</v>
      </c>
      <c r="D205" s="8" t="s">
        <v>131</v>
      </c>
      <c r="E205" s="5" t="s">
        <v>51</v>
      </c>
    </row>
    <row r="206" customFormat="false" ht="13.8" hidden="false" customHeight="false" outlineLevel="0" collapsed="false">
      <c r="A206" s="8" t="s">
        <v>92</v>
      </c>
      <c r="B206" s="9" t="n">
        <v>1.14</v>
      </c>
      <c r="D206" s="8" t="s">
        <v>131</v>
      </c>
      <c r="E206" s="5" t="s">
        <v>51</v>
      </c>
    </row>
    <row r="207" customFormat="false" ht="13.8" hidden="false" customHeight="false" outlineLevel="0" collapsed="false">
      <c r="A207" s="8" t="s">
        <v>92</v>
      </c>
      <c r="B207" s="9" t="n">
        <v>1.15</v>
      </c>
      <c r="D207" s="8" t="s">
        <v>131</v>
      </c>
      <c r="E207" s="5" t="s">
        <v>51</v>
      </c>
    </row>
    <row r="208" customFormat="false" ht="13.8" hidden="false" customHeight="false" outlineLevel="0" collapsed="false">
      <c r="A208" s="8" t="s">
        <v>92</v>
      </c>
      <c r="B208" s="9" t="n">
        <v>1.165</v>
      </c>
      <c r="D208" s="8" t="s">
        <v>131</v>
      </c>
      <c r="E208" s="5" t="s">
        <v>51</v>
      </c>
    </row>
    <row r="209" customFormat="false" ht="13.8" hidden="false" customHeight="false" outlineLevel="0" collapsed="false">
      <c r="A209" s="8" t="s">
        <v>92</v>
      </c>
      <c r="B209" s="9" t="n">
        <v>1.19</v>
      </c>
      <c r="D209" s="8" t="s">
        <v>131</v>
      </c>
      <c r="E209" s="5" t="s">
        <v>51</v>
      </c>
    </row>
    <row r="210" customFormat="false" ht="13.8" hidden="false" customHeight="false" outlineLevel="0" collapsed="false">
      <c r="A210" s="8" t="s">
        <v>92</v>
      </c>
      <c r="B210" s="9" t="n">
        <v>1.21</v>
      </c>
      <c r="D210" s="8" t="s">
        <v>131</v>
      </c>
      <c r="E210" s="5" t="s">
        <v>51</v>
      </c>
    </row>
    <row r="211" customFormat="false" ht="13.8" hidden="false" customHeight="false" outlineLevel="0" collapsed="false">
      <c r="A211" s="8" t="s">
        <v>92</v>
      </c>
      <c r="B211" s="9" t="n">
        <v>1.22</v>
      </c>
      <c r="D211" s="8" t="s">
        <v>131</v>
      </c>
      <c r="E211" s="5" t="s">
        <v>51</v>
      </c>
    </row>
    <row r="212" customFormat="false" ht="13.8" hidden="false" customHeight="false" outlineLevel="0" collapsed="false">
      <c r="A212" s="8" t="s">
        <v>92</v>
      </c>
      <c r="B212" s="9" t="n">
        <v>1.27</v>
      </c>
      <c r="D212" s="8" t="s">
        <v>131</v>
      </c>
      <c r="E212" s="5" t="s">
        <v>51</v>
      </c>
    </row>
    <row r="213" customFormat="false" ht="13.8" hidden="false" customHeight="false" outlineLevel="0" collapsed="false">
      <c r="A213" s="8" t="s">
        <v>92</v>
      </c>
      <c r="B213" s="9" t="n">
        <v>1.3</v>
      </c>
      <c r="D213" s="8" t="s">
        <v>131</v>
      </c>
      <c r="E213" s="5" t="s">
        <v>51</v>
      </c>
    </row>
    <row r="214" customFormat="false" ht="13.8" hidden="false" customHeight="false" outlineLevel="0" collapsed="false">
      <c r="A214" s="8" t="s">
        <v>92</v>
      </c>
      <c r="B214" s="9" t="n">
        <v>1.3</v>
      </c>
      <c r="D214" s="8" t="s">
        <v>131</v>
      </c>
      <c r="E214" s="5" t="s">
        <v>51</v>
      </c>
    </row>
    <row r="215" customFormat="false" ht="13.8" hidden="false" customHeight="false" outlineLevel="0" collapsed="false">
      <c r="A215" s="8" t="s">
        <v>92</v>
      </c>
      <c r="B215" s="9" t="n">
        <v>1.03</v>
      </c>
      <c r="D215" s="8" t="s">
        <v>132</v>
      </c>
      <c r="E215" s="5" t="s">
        <v>51</v>
      </c>
    </row>
    <row r="216" customFormat="false" ht="13.8" hidden="false" customHeight="false" outlineLevel="0" collapsed="false">
      <c r="A216" s="8" t="s">
        <v>92</v>
      </c>
      <c r="B216" s="9" t="n">
        <v>1.22</v>
      </c>
      <c r="D216" s="8" t="s">
        <v>132</v>
      </c>
      <c r="E216" s="5" t="s">
        <v>51</v>
      </c>
    </row>
    <row r="217" customFormat="false" ht="13.8" hidden="false" customHeight="false" outlineLevel="0" collapsed="false">
      <c r="A217" s="8" t="s">
        <v>92</v>
      </c>
      <c r="B217" s="9" t="n">
        <v>1.34</v>
      </c>
      <c r="D217" s="8" t="s">
        <v>132</v>
      </c>
      <c r="E217" s="5" t="s">
        <v>51</v>
      </c>
    </row>
    <row r="218" customFormat="false" ht="13.8" hidden="false" customHeight="false" outlineLevel="0" collapsed="false">
      <c r="A218" s="8" t="s">
        <v>92</v>
      </c>
      <c r="B218" s="9" t="n">
        <v>1.024</v>
      </c>
      <c r="D218" s="8" t="s">
        <v>133</v>
      </c>
      <c r="E218" s="5" t="s">
        <v>51</v>
      </c>
    </row>
    <row r="219" customFormat="false" ht="13.8" hidden="false" customHeight="false" outlineLevel="0" collapsed="false">
      <c r="A219" s="8" t="s">
        <v>92</v>
      </c>
      <c r="B219" s="9" t="n">
        <v>1.05</v>
      </c>
      <c r="D219" s="8" t="s">
        <v>133</v>
      </c>
      <c r="E219" s="5" t="s">
        <v>51</v>
      </c>
    </row>
    <row r="220" customFormat="false" ht="13.8" hidden="false" customHeight="false" outlineLevel="0" collapsed="false">
      <c r="A220" s="8" t="s">
        <v>92</v>
      </c>
      <c r="B220" s="9" t="n">
        <v>1.06</v>
      </c>
      <c r="D220" s="8" t="s">
        <v>133</v>
      </c>
      <c r="E220" s="5" t="s">
        <v>51</v>
      </c>
    </row>
    <row r="221" customFormat="false" ht="13.8" hidden="false" customHeight="false" outlineLevel="0" collapsed="false">
      <c r="A221" s="8" t="s">
        <v>92</v>
      </c>
      <c r="B221" s="9" t="n">
        <v>1.107684</v>
      </c>
      <c r="D221" s="8" t="s">
        <v>133</v>
      </c>
      <c r="E221" s="5" t="s">
        <v>51</v>
      </c>
    </row>
    <row r="222" customFormat="false" ht="13.8" hidden="false" customHeight="false" outlineLevel="0" collapsed="false">
      <c r="A222" s="8" t="s">
        <v>92</v>
      </c>
      <c r="B222" s="9" t="n">
        <v>1.14</v>
      </c>
      <c r="D222" s="8" t="s">
        <v>133</v>
      </c>
      <c r="E222" s="5" t="s">
        <v>51</v>
      </c>
    </row>
    <row r="223" customFormat="false" ht="13.8" hidden="false" customHeight="false" outlineLevel="0" collapsed="false">
      <c r="A223" s="8" t="s">
        <v>92</v>
      </c>
      <c r="B223" s="9" t="n">
        <v>1.14</v>
      </c>
      <c r="D223" s="8" t="s">
        <v>133</v>
      </c>
      <c r="E223" s="5" t="s">
        <v>51</v>
      </c>
    </row>
    <row r="224" customFormat="false" ht="13.8" hidden="false" customHeight="false" outlineLevel="0" collapsed="false">
      <c r="A224" s="8" t="s">
        <v>92</v>
      </c>
      <c r="B224" s="9" t="n">
        <v>1.15</v>
      </c>
      <c r="D224" s="8" t="s">
        <v>133</v>
      </c>
      <c r="E224" s="5" t="s">
        <v>51</v>
      </c>
    </row>
    <row r="225" customFormat="false" ht="13.8" hidden="false" customHeight="false" outlineLevel="0" collapsed="false">
      <c r="A225" s="8" t="s">
        <v>92</v>
      </c>
      <c r="B225" s="9" t="n">
        <v>1.19</v>
      </c>
      <c r="D225" s="8" t="s">
        <v>133</v>
      </c>
      <c r="E225" s="5" t="s">
        <v>51</v>
      </c>
    </row>
    <row r="226" customFormat="false" ht="13.8" hidden="false" customHeight="false" outlineLevel="0" collapsed="false">
      <c r="A226" s="8" t="s">
        <v>92</v>
      </c>
      <c r="B226" s="9" t="n">
        <v>1.23</v>
      </c>
      <c r="D226" s="8" t="s">
        <v>133</v>
      </c>
      <c r="E226" s="5" t="s">
        <v>51</v>
      </c>
    </row>
    <row r="227" customFormat="false" ht="13.8" hidden="false" customHeight="false" outlineLevel="0" collapsed="false">
      <c r="A227" s="8" t="s">
        <v>92</v>
      </c>
      <c r="B227" s="9" t="n">
        <v>1.23</v>
      </c>
      <c r="D227" s="8" t="s">
        <v>133</v>
      </c>
      <c r="E227" s="5" t="s">
        <v>51</v>
      </c>
    </row>
    <row r="228" customFormat="false" ht="13.8" hidden="false" customHeight="false" outlineLevel="0" collapsed="false">
      <c r="A228" s="8" t="s">
        <v>92</v>
      </c>
      <c r="B228" s="9" t="n">
        <v>1.23239436619718</v>
      </c>
      <c r="D228" s="8" t="s">
        <v>133</v>
      </c>
      <c r="E228" s="5" t="s">
        <v>51</v>
      </c>
    </row>
    <row r="229" customFormat="false" ht="13.8" hidden="false" customHeight="false" outlineLevel="0" collapsed="false">
      <c r="A229" s="8" t="s">
        <v>92</v>
      </c>
      <c r="B229" s="9" t="n">
        <v>1.26</v>
      </c>
      <c r="D229" s="8" t="s">
        <v>133</v>
      </c>
      <c r="E229" s="5" t="s">
        <v>51</v>
      </c>
    </row>
    <row r="230" customFormat="false" ht="13.8" hidden="false" customHeight="false" outlineLevel="0" collapsed="false">
      <c r="A230" s="8" t="s">
        <v>92</v>
      </c>
      <c r="B230" s="9" t="n">
        <v>1.3</v>
      </c>
      <c r="D230" s="8" t="s">
        <v>133</v>
      </c>
      <c r="E230" s="5" t="s">
        <v>51</v>
      </c>
    </row>
    <row r="231" customFormat="false" ht="13.8" hidden="false" customHeight="false" outlineLevel="0" collapsed="false">
      <c r="A231" s="8" t="s">
        <v>92</v>
      </c>
      <c r="B231" s="9" t="n">
        <v>1.32</v>
      </c>
      <c r="D231" s="8" t="s">
        <v>133</v>
      </c>
      <c r="E231" s="5" t="s">
        <v>51</v>
      </c>
    </row>
    <row r="232" customFormat="false" ht="13.8" hidden="false" customHeight="false" outlineLevel="0" collapsed="false">
      <c r="A232" s="8" t="s">
        <v>92</v>
      </c>
      <c r="B232" s="9" t="n">
        <v>1.389</v>
      </c>
      <c r="D232" s="8" t="s">
        <v>133</v>
      </c>
      <c r="E232" s="5" t="s">
        <v>51</v>
      </c>
    </row>
    <row r="233" customFormat="false" ht="13.8" hidden="false" customHeight="false" outlineLevel="0" collapsed="false">
      <c r="A233" s="8" t="s">
        <v>92</v>
      </c>
      <c r="B233" s="9" t="n">
        <v>1.40845070422535</v>
      </c>
      <c r="D233" s="8" t="s">
        <v>133</v>
      </c>
      <c r="E233" s="5" t="s">
        <v>51</v>
      </c>
    </row>
    <row r="234" customFormat="false" ht="13.8" hidden="false" customHeight="false" outlineLevel="0" collapsed="false">
      <c r="A234" s="8" t="s">
        <v>92</v>
      </c>
      <c r="B234" s="9" t="n">
        <v>1.47686</v>
      </c>
      <c r="D234" s="8" t="s">
        <v>133</v>
      </c>
      <c r="E234" s="5" t="s">
        <v>51</v>
      </c>
    </row>
    <row r="235" customFormat="false" ht="13.8" hidden="false" customHeight="false" outlineLevel="0" collapsed="false">
      <c r="A235" s="8" t="s">
        <v>92</v>
      </c>
      <c r="B235" s="9" t="n">
        <v>1.58450704225352</v>
      </c>
      <c r="D235" s="8" t="s">
        <v>133</v>
      </c>
      <c r="E235" s="5" t="s">
        <v>51</v>
      </c>
    </row>
    <row r="236" customFormat="false" ht="13.8" hidden="false" customHeight="false" outlineLevel="0" collapsed="false">
      <c r="A236" s="8" t="s">
        <v>92</v>
      </c>
      <c r="B236" s="9" t="n">
        <v>1.613</v>
      </c>
      <c r="D236" s="8" t="s">
        <v>133</v>
      </c>
      <c r="E236" s="5" t="s">
        <v>51</v>
      </c>
    </row>
    <row r="237" customFormat="false" ht="13.8" hidden="false" customHeight="false" outlineLevel="0" collapsed="false">
      <c r="A237" s="8" t="s">
        <v>92</v>
      </c>
      <c r="B237" s="9" t="n">
        <v>2.4102</v>
      </c>
      <c r="D237" s="8" t="s">
        <v>133</v>
      </c>
      <c r="E237" s="5" t="s">
        <v>51</v>
      </c>
    </row>
    <row r="238" customFormat="false" ht="13.8" hidden="false" customHeight="false" outlineLevel="0" collapsed="false">
      <c r="A238" s="8" t="s">
        <v>90</v>
      </c>
      <c r="B238" s="9" t="n">
        <v>0.63</v>
      </c>
      <c r="D238" s="8" t="s">
        <v>134</v>
      </c>
      <c r="E238" s="5" t="s">
        <v>51</v>
      </c>
    </row>
    <row r="239" customFormat="false" ht="13.8" hidden="false" customHeight="false" outlineLevel="0" collapsed="false">
      <c r="A239" s="8" t="s">
        <v>90</v>
      </c>
      <c r="B239" s="9" t="n">
        <v>0.63</v>
      </c>
      <c r="D239" s="8" t="s">
        <v>134</v>
      </c>
      <c r="E239" s="5" t="s">
        <v>51</v>
      </c>
    </row>
    <row r="240" customFormat="false" ht="13.8" hidden="false" customHeight="false" outlineLevel="0" collapsed="false">
      <c r="A240" s="8" t="s">
        <v>90</v>
      </c>
      <c r="B240" s="9" t="n">
        <v>0.45</v>
      </c>
      <c r="D240" s="8" t="s">
        <v>91</v>
      </c>
      <c r="E240" s="5" t="s">
        <v>51</v>
      </c>
    </row>
    <row r="241" customFormat="false" ht="13.8" hidden="false" customHeight="false" outlineLevel="0" collapsed="false">
      <c r="A241" s="8" t="s">
        <v>90</v>
      </c>
      <c r="B241" s="9" t="n">
        <v>0.549</v>
      </c>
      <c r="D241" s="8" t="s">
        <v>91</v>
      </c>
      <c r="E241" s="5" t="s">
        <v>51</v>
      </c>
    </row>
    <row r="242" customFormat="false" ht="13.8" hidden="false" customHeight="false" outlineLevel="0" collapsed="false">
      <c r="A242" s="8" t="s">
        <v>90</v>
      </c>
      <c r="B242" s="9" t="n">
        <v>0.63</v>
      </c>
      <c r="D242" s="8" t="s">
        <v>91</v>
      </c>
      <c r="E242" s="5" t="s">
        <v>51</v>
      </c>
    </row>
    <row r="243" customFormat="false" ht="13.8" hidden="false" customHeight="false" outlineLevel="0" collapsed="false">
      <c r="A243" s="8" t="s">
        <v>90</v>
      </c>
      <c r="B243" s="9" t="n">
        <v>0.421</v>
      </c>
      <c r="D243" s="8" t="s">
        <v>95</v>
      </c>
      <c r="E243" s="5" t="s">
        <v>51</v>
      </c>
    </row>
    <row r="244" customFormat="false" ht="13.8" hidden="false" customHeight="false" outlineLevel="0" collapsed="false">
      <c r="A244" s="8" t="s">
        <v>90</v>
      </c>
      <c r="B244" s="9" t="n">
        <v>0.534</v>
      </c>
      <c r="D244" s="8" t="s">
        <v>95</v>
      </c>
      <c r="E244" s="5" t="s">
        <v>51</v>
      </c>
    </row>
    <row r="245" customFormat="false" ht="13.8" hidden="false" customHeight="false" outlineLevel="0" collapsed="false">
      <c r="A245" s="8" t="s">
        <v>90</v>
      </c>
      <c r="B245" s="9" t="n">
        <v>0.55</v>
      </c>
      <c r="D245" s="8" t="s">
        <v>95</v>
      </c>
      <c r="E245" s="5" t="s">
        <v>51</v>
      </c>
    </row>
    <row r="246" customFormat="false" ht="13.8" hidden="false" customHeight="false" outlineLevel="0" collapsed="false">
      <c r="A246" s="8" t="s">
        <v>90</v>
      </c>
      <c r="B246" s="9" t="n">
        <v>0.349</v>
      </c>
      <c r="D246" s="8" t="s">
        <v>102</v>
      </c>
      <c r="E246" s="5" t="s">
        <v>51</v>
      </c>
    </row>
    <row r="247" customFormat="false" ht="13.8" hidden="false" customHeight="false" outlineLevel="0" collapsed="false">
      <c r="A247" s="8" t="s">
        <v>90</v>
      </c>
      <c r="B247" s="9" t="n">
        <v>0.73</v>
      </c>
      <c r="D247" s="8" t="s">
        <v>124</v>
      </c>
      <c r="E247" s="5" t="s">
        <v>51</v>
      </c>
    </row>
    <row r="248" customFormat="false" ht="13.8" hidden="false" customHeight="false" outlineLevel="0" collapsed="false">
      <c r="A248" s="8" t="s">
        <v>90</v>
      </c>
      <c r="B248" s="9" t="n">
        <v>0.78</v>
      </c>
      <c r="D248" s="8" t="s">
        <v>124</v>
      </c>
      <c r="E248" s="5" t="s">
        <v>51</v>
      </c>
    </row>
    <row r="249" customFormat="false" ht="13.8" hidden="false" customHeight="false" outlineLevel="0" collapsed="false">
      <c r="A249" s="8" t="s">
        <v>90</v>
      </c>
      <c r="B249" s="9" t="n">
        <v>0.54</v>
      </c>
      <c r="D249" s="8" t="s">
        <v>135</v>
      </c>
      <c r="E249" s="5" t="s">
        <v>51</v>
      </c>
    </row>
    <row r="250" customFormat="false" ht="13.8" hidden="false" customHeight="false" outlineLevel="0" collapsed="false">
      <c r="A250" s="8" t="s">
        <v>90</v>
      </c>
      <c r="B250" s="9" t="n">
        <v>0.542</v>
      </c>
      <c r="D250" s="8" t="s">
        <v>136</v>
      </c>
      <c r="E250" s="5" t="s">
        <v>51</v>
      </c>
    </row>
    <row r="251" customFormat="false" ht="13.8" hidden="false" customHeight="false" outlineLevel="0" collapsed="false">
      <c r="A251" s="8" t="s">
        <v>90</v>
      </c>
      <c r="B251" s="9" t="n">
        <v>0.577</v>
      </c>
      <c r="D251" s="8" t="s">
        <v>96</v>
      </c>
      <c r="E251" s="5" t="s">
        <v>51</v>
      </c>
    </row>
    <row r="252" customFormat="false" ht="13.8" hidden="false" customHeight="false" outlineLevel="0" collapsed="false">
      <c r="A252" s="8" t="s">
        <v>90</v>
      </c>
      <c r="B252" s="9" t="n">
        <v>0.76</v>
      </c>
      <c r="D252" s="8" t="s">
        <v>96</v>
      </c>
      <c r="E252" s="5" t="s">
        <v>51</v>
      </c>
    </row>
    <row r="253" customFormat="false" ht="13.8" hidden="false" customHeight="false" outlineLevel="0" collapsed="false">
      <c r="A253" s="8" t="s">
        <v>90</v>
      </c>
      <c r="B253" s="9" t="n">
        <v>0.38</v>
      </c>
      <c r="D253" s="8" t="s">
        <v>131</v>
      </c>
      <c r="E253" s="5" t="s">
        <v>51</v>
      </c>
    </row>
    <row r="254" customFormat="false" ht="13.8" hidden="false" customHeight="false" outlineLevel="0" collapsed="false">
      <c r="A254" s="8" t="s">
        <v>90</v>
      </c>
      <c r="B254" s="9" t="n">
        <v>0.4</v>
      </c>
      <c r="D254" s="8" t="s">
        <v>131</v>
      </c>
      <c r="E254" s="5" t="s">
        <v>51</v>
      </c>
    </row>
    <row r="255" customFormat="false" ht="13.8" hidden="false" customHeight="false" outlineLevel="0" collapsed="false">
      <c r="A255" s="8" t="s">
        <v>90</v>
      </c>
      <c r="B255" s="9" t="n">
        <v>0.468</v>
      </c>
      <c r="D255" s="8" t="s">
        <v>131</v>
      </c>
      <c r="E255" s="5" t="s">
        <v>51</v>
      </c>
    </row>
    <row r="256" customFormat="false" ht="13.8" hidden="false" customHeight="false" outlineLevel="0" collapsed="false">
      <c r="A256" s="8" t="s">
        <v>90</v>
      </c>
      <c r="B256" s="9" t="n">
        <v>0.47</v>
      </c>
      <c r="D256" s="8" t="s">
        <v>131</v>
      </c>
      <c r="E256" s="5" t="s">
        <v>51</v>
      </c>
    </row>
    <row r="257" customFormat="false" ht="13.8" hidden="false" customHeight="false" outlineLevel="0" collapsed="false">
      <c r="A257" s="8" t="s">
        <v>90</v>
      </c>
      <c r="B257" s="9" t="n">
        <v>0.51</v>
      </c>
      <c r="D257" s="8" t="s">
        <v>131</v>
      </c>
      <c r="E257" s="5" t="s">
        <v>51</v>
      </c>
    </row>
    <row r="258" customFormat="false" ht="13.8" hidden="false" customHeight="false" outlineLevel="0" collapsed="false">
      <c r="A258" s="8" t="s">
        <v>90</v>
      </c>
      <c r="B258" s="9" t="n">
        <v>0.52</v>
      </c>
      <c r="D258" s="8" t="s">
        <v>131</v>
      </c>
      <c r="E258" s="5" t="s">
        <v>51</v>
      </c>
    </row>
    <row r="259" customFormat="false" ht="13.8" hidden="false" customHeight="false" outlineLevel="0" collapsed="false">
      <c r="A259" s="8" t="s">
        <v>90</v>
      </c>
      <c r="B259" s="9" t="n">
        <v>0.59</v>
      </c>
      <c r="D259" s="8" t="s">
        <v>131</v>
      </c>
      <c r="E259" s="5" t="s">
        <v>51</v>
      </c>
    </row>
    <row r="260" customFormat="false" ht="13.8" hidden="false" customHeight="false" outlineLevel="0" collapsed="false">
      <c r="A260" s="8" t="s">
        <v>90</v>
      </c>
      <c r="B260" s="9" t="n">
        <v>0.59</v>
      </c>
      <c r="D260" s="8" t="s">
        <v>131</v>
      </c>
      <c r="E260" s="5" t="s">
        <v>51</v>
      </c>
    </row>
    <row r="261" customFormat="false" ht="13.8" hidden="false" customHeight="false" outlineLevel="0" collapsed="false">
      <c r="A261" s="8" t="s">
        <v>90</v>
      </c>
      <c r="B261" s="9" t="n">
        <v>0.6</v>
      </c>
      <c r="D261" s="8" t="s">
        <v>131</v>
      </c>
      <c r="E261" s="5" t="s">
        <v>51</v>
      </c>
    </row>
    <row r="262" customFormat="false" ht="13.8" hidden="false" customHeight="false" outlineLevel="0" collapsed="false">
      <c r="A262" s="8" t="s">
        <v>90</v>
      </c>
      <c r="B262" s="9" t="n">
        <v>0.29</v>
      </c>
      <c r="D262" s="8" t="s">
        <v>132</v>
      </c>
      <c r="E262" s="5" t="s">
        <v>51</v>
      </c>
    </row>
    <row r="263" customFormat="false" ht="13.8" hidden="false" customHeight="false" outlineLevel="0" collapsed="false">
      <c r="A263" s="8" t="s">
        <v>90</v>
      </c>
      <c r="B263" s="9" t="n">
        <v>0.63</v>
      </c>
      <c r="D263" s="8" t="s">
        <v>132</v>
      </c>
      <c r="E263" s="5" t="s">
        <v>51</v>
      </c>
    </row>
    <row r="264" customFormat="false" ht="13.8" hidden="false" customHeight="false" outlineLevel="0" collapsed="false">
      <c r="A264" s="8" t="s">
        <v>90</v>
      </c>
      <c r="B264" s="9" t="n">
        <v>0.517</v>
      </c>
      <c r="D264" s="8" t="s">
        <v>133</v>
      </c>
      <c r="E264" s="5" t="s">
        <v>51</v>
      </c>
    </row>
    <row r="265" customFormat="false" ht="13.8" hidden="false" customHeight="false" outlineLevel="0" collapsed="false">
      <c r="A265" s="8" t="s">
        <v>90</v>
      </c>
      <c r="B265" s="9" t="n">
        <v>0.52</v>
      </c>
      <c r="D265" s="8" t="s">
        <v>133</v>
      </c>
      <c r="E265" s="5" t="s">
        <v>51</v>
      </c>
    </row>
    <row r="266" customFormat="false" ht="13.8" hidden="false" customHeight="false" outlineLevel="0" collapsed="false">
      <c r="A266" s="8" t="s">
        <v>90</v>
      </c>
      <c r="B266" s="9" t="n">
        <v>0.52</v>
      </c>
      <c r="D266" s="8" t="s">
        <v>133</v>
      </c>
      <c r="E266" s="5" t="s">
        <v>51</v>
      </c>
    </row>
    <row r="267" customFormat="false" ht="13.8" hidden="false" customHeight="false" outlineLevel="0" collapsed="false">
      <c r="A267" s="8" t="s">
        <v>90</v>
      </c>
      <c r="B267" s="9" t="n">
        <v>0.7</v>
      </c>
      <c r="D267" s="8" t="s">
        <v>133</v>
      </c>
      <c r="E267" s="5" t="s">
        <v>51</v>
      </c>
    </row>
    <row r="268" customFormat="false" ht="13.8" hidden="false" customHeight="false" outlineLevel="0" collapsed="false">
      <c r="A268" s="8" t="s">
        <v>90</v>
      </c>
      <c r="B268" s="9" t="n">
        <v>0.8</v>
      </c>
      <c r="D268" s="8" t="s">
        <v>133</v>
      </c>
      <c r="E268" s="5" t="s">
        <v>51</v>
      </c>
    </row>
    <row r="269" customFormat="false" ht="13.8" hidden="false" customHeight="false" outlineLevel="0" collapsed="false">
      <c r="A269" s="4" t="s">
        <v>92</v>
      </c>
      <c r="B269" s="13" t="n">
        <v>1.09208333333333</v>
      </c>
      <c r="C269" s="9" t="n">
        <v>5386.74033149171</v>
      </c>
      <c r="D269" s="4" t="s">
        <v>137</v>
      </c>
      <c r="E269" s="8" t="s">
        <v>55</v>
      </c>
    </row>
    <row r="270" customFormat="false" ht="13.8" hidden="false" customHeight="false" outlineLevel="0" collapsed="false">
      <c r="A270" s="4" t="s">
        <v>138</v>
      </c>
      <c r="B270" s="0"/>
      <c r="C270" s="14" t="n">
        <v>6056.78233438486</v>
      </c>
      <c r="D270" s="4" t="s">
        <v>137</v>
      </c>
      <c r="E270" s="8" t="s">
        <v>55</v>
      </c>
    </row>
    <row r="271" customFormat="false" ht="13.8" hidden="false" customHeight="false" outlineLevel="0" collapsed="false">
      <c r="A271" s="4" t="s">
        <v>139</v>
      </c>
      <c r="B271" s="0"/>
      <c r="C271" s="14" t="n">
        <v>2996.10894941634</v>
      </c>
      <c r="D271" s="4" t="s">
        <v>137</v>
      </c>
      <c r="E271" s="8" t="s">
        <v>55</v>
      </c>
    </row>
    <row r="272" customFormat="false" ht="13.8" hidden="false" customHeight="false" outlineLevel="0" collapsed="false">
      <c r="A272" s="4" t="s">
        <v>140</v>
      </c>
      <c r="B272" s="0"/>
      <c r="C272" s="14" t="n">
        <v>1800</v>
      </c>
      <c r="D272" s="4" t="s">
        <v>137</v>
      </c>
      <c r="E272" s="8" t="s">
        <v>55</v>
      </c>
    </row>
    <row r="273" customFormat="false" ht="13.8" hidden="false" customHeight="false" outlineLevel="0" collapsed="false">
      <c r="A273" s="4" t="s">
        <v>141</v>
      </c>
      <c r="B273" s="0"/>
      <c r="C273" s="14" t="n">
        <v>1833.33333333333</v>
      </c>
      <c r="D273" s="4" t="s">
        <v>137</v>
      </c>
      <c r="E273" s="8" t="s">
        <v>55</v>
      </c>
    </row>
    <row r="274" customFormat="false" ht="13.8" hidden="false" customHeight="false" outlineLevel="0" collapsed="false">
      <c r="A274" s="15" t="s">
        <v>92</v>
      </c>
      <c r="B274" s="16" t="n">
        <v>1.037</v>
      </c>
      <c r="C274" s="16" t="n">
        <v>7547.286</v>
      </c>
      <c r="D274" s="15" t="s">
        <v>91</v>
      </c>
      <c r="E274" s="5" t="s">
        <v>58</v>
      </c>
    </row>
    <row r="275" customFormat="false" ht="13.8" hidden="false" customHeight="false" outlineLevel="0" collapsed="false">
      <c r="A275" s="0" t="s">
        <v>139</v>
      </c>
      <c r="B275" s="9" t="n">
        <v>2.3</v>
      </c>
      <c r="C275" s="9" t="n">
        <v>4234.3</v>
      </c>
      <c r="D275" s="15" t="s">
        <v>91</v>
      </c>
      <c r="E275" s="5" t="s">
        <v>58</v>
      </c>
    </row>
    <row r="276" customFormat="false" ht="13.8" hidden="false" customHeight="false" outlineLevel="0" collapsed="false">
      <c r="A276" s="15" t="s">
        <v>138</v>
      </c>
      <c r="B276" s="16" t="n">
        <v>15.3</v>
      </c>
      <c r="C276" s="16" t="n">
        <v>5691.6</v>
      </c>
      <c r="D276" s="15" t="s">
        <v>132</v>
      </c>
      <c r="E276" s="5" t="s">
        <v>58</v>
      </c>
      <c r="F276" s="15"/>
      <c r="G276" s="15"/>
      <c r="H276" s="15"/>
      <c r="J276" s="16"/>
      <c r="K276" s="15"/>
    </row>
    <row r="277" customFormat="false" ht="13.8" hidden="false" customHeight="false" outlineLevel="0" collapsed="false">
      <c r="A277" s="15" t="s">
        <v>138</v>
      </c>
      <c r="B277" s="16" t="n">
        <v>8.8</v>
      </c>
      <c r="C277" s="16" t="n">
        <v>7268.8</v>
      </c>
      <c r="D277" s="15" t="s">
        <v>132</v>
      </c>
      <c r="E277" s="5" t="s">
        <v>58</v>
      </c>
      <c r="F277" s="15"/>
      <c r="G277" s="15"/>
      <c r="H277" s="15"/>
      <c r="J277" s="16"/>
      <c r="K277" s="15"/>
    </row>
    <row r="278" customFormat="false" ht="13.8" hidden="false" customHeight="false" outlineLevel="0" collapsed="false">
      <c r="A278" s="0" t="s">
        <v>90</v>
      </c>
      <c r="B278" s="16" t="n">
        <v>0.7</v>
      </c>
      <c r="C278" s="16" t="n">
        <v>5390</v>
      </c>
      <c r="D278" s="15" t="s">
        <v>142</v>
      </c>
      <c r="E278" s="5" t="s">
        <v>58</v>
      </c>
    </row>
    <row r="279" customFormat="false" ht="13.8" hidden="false" customHeight="false" outlineLevel="0" collapsed="false">
      <c r="A279" s="0" t="s">
        <v>90</v>
      </c>
      <c r="B279" s="16" t="n">
        <v>0.804</v>
      </c>
      <c r="C279" s="16" t="n">
        <v>5742.972</v>
      </c>
      <c r="D279" s="15" t="s">
        <v>143</v>
      </c>
      <c r="E279" s="5" t="s">
        <v>58</v>
      </c>
      <c r="F279" s="15"/>
      <c r="G279" s="15"/>
      <c r="H279" s="15"/>
      <c r="J279" s="16"/>
      <c r="K279" s="15"/>
    </row>
    <row r="280" customFormat="false" ht="13.8" hidden="false" customHeight="false" outlineLevel="0" collapsed="false">
      <c r="A280" s="15" t="s">
        <v>141</v>
      </c>
      <c r="B280" s="16" t="n">
        <v>1.6</v>
      </c>
      <c r="C280" s="16" t="n">
        <v>7272</v>
      </c>
      <c r="D280" s="15" t="s">
        <v>144</v>
      </c>
      <c r="E280" s="5" t="s">
        <v>58</v>
      </c>
      <c r="F280" s="15"/>
      <c r="G280" s="15"/>
      <c r="H280" s="15"/>
      <c r="J280" s="16"/>
      <c r="K280" s="15"/>
    </row>
    <row r="281" customFormat="false" ht="13.8" hidden="false" customHeight="false" outlineLevel="0" collapsed="false">
      <c r="A281" s="15" t="s">
        <v>141</v>
      </c>
      <c r="B281" s="16" t="n">
        <v>4.57</v>
      </c>
      <c r="C281" s="16" t="n">
        <v>7142.91</v>
      </c>
      <c r="D281" s="15" t="s">
        <v>145</v>
      </c>
      <c r="E281" s="5" t="s">
        <v>58</v>
      </c>
    </row>
    <row r="282" customFormat="false" ht="13.8" hidden="false" customHeight="false" outlineLevel="0" collapsed="false">
      <c r="A282" s="15" t="s">
        <v>141</v>
      </c>
      <c r="B282" s="16" t="n">
        <v>4.41</v>
      </c>
      <c r="C282" s="16" t="n">
        <v>7876.26</v>
      </c>
      <c r="D282" s="15" t="s">
        <v>143</v>
      </c>
      <c r="E282" s="5" t="s">
        <v>58</v>
      </c>
      <c r="G282" s="5"/>
    </row>
    <row r="283" customFormat="false" ht="13.8" hidden="false" customHeight="false" outlineLevel="0" collapsed="false">
      <c r="A283" s="15" t="s">
        <v>141</v>
      </c>
      <c r="B283" s="16" t="n">
        <v>2.92</v>
      </c>
      <c r="C283" s="16" t="n">
        <v>7300</v>
      </c>
      <c r="D283" s="15" t="s">
        <v>143</v>
      </c>
      <c r="E283" s="5" t="s">
        <v>58</v>
      </c>
      <c r="F283" s="15"/>
      <c r="G283" s="15"/>
      <c r="H283" s="15"/>
      <c r="J283" s="16"/>
      <c r="K283" s="15"/>
    </row>
    <row r="284" customFormat="false" ht="13.8" hidden="false" customHeight="false" outlineLevel="0" collapsed="false">
      <c r="A284" s="15"/>
      <c r="B284" s="15"/>
      <c r="C284" s="15"/>
      <c r="D284" s="0"/>
      <c r="E284" s="15"/>
      <c r="F284" s="15"/>
      <c r="G284" s="15"/>
      <c r="H284" s="15"/>
      <c r="J284" s="16"/>
      <c r="K284" s="15"/>
    </row>
    <row r="285" customFormat="false" ht="13.8" hidden="false" customHeight="false" outlineLevel="0" collapsed="false"/>
    <row r="286" customFormat="false" ht="13.8" hidden="false" customHeight="false" outlineLevel="0" collapsed="false"/>
    <row r="287" customFormat="false" ht="13.8" hidden="false" customHeight="false" outlineLevel="0" collapsed="false"/>
    <row r="288" customFormat="false" ht="13.8" hidden="false" customHeight="false" outlineLevel="0" collapsed="false"/>
    <row r="289" customFormat="false" ht="13.8" hidden="false" customHeight="false" outlineLevel="0" collapsed="false"/>
    <row r="290" customFormat="false" ht="13.8" hidden="false" customHeight="false" outlineLevel="0" collapsed="false"/>
    <row r="291" customFormat="false" ht="13.8" hidden="false" customHeight="false" outlineLevel="0" collapsed="false"/>
    <row r="292" customFormat="false" ht="13.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E269"/>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 topLeftCell="A68" activePane="bottomLeft" state="frozen"/>
      <selection pane="topLeft" activeCell="A1" activeCellId="0" sqref="A1"/>
      <selection pane="bottomLeft" activeCell="D1" activeCellId="0" sqref="D1"/>
    </sheetView>
  </sheetViews>
  <sheetFormatPr defaultColWidth="11.53515625" defaultRowHeight="13.8" zeroHeight="false" outlineLevelRow="0" outlineLevelCol="0"/>
  <cols>
    <col collapsed="false" customWidth="true" hidden="false" outlineLevel="0" max="2" min="2" style="8" width="64.9"/>
    <col collapsed="false" customWidth="false" hidden="false" outlineLevel="0" max="4" min="4" style="13" width="11.53"/>
    <col collapsed="false" customWidth="true" hidden="false" outlineLevel="0" max="5" min="5" style="9" width="9.9"/>
    <col collapsed="false" customWidth="true" hidden="false" outlineLevel="0" max="6" min="6" style="8" width="43.57"/>
    <col collapsed="false" customWidth="true" hidden="false" outlineLevel="0" max="7" min="7" style="4" width="50.23"/>
  </cols>
  <sheetData>
    <row r="1" customFormat="false" ht="13.8" hidden="false" customHeight="false" outlineLevel="0" collapsed="false">
      <c r="A1" s="8" t="s">
        <v>86</v>
      </c>
      <c r="B1" s="8" t="s">
        <v>146</v>
      </c>
      <c r="C1" s="8" t="s">
        <v>89</v>
      </c>
      <c r="D1" s="17" t="s">
        <v>87</v>
      </c>
      <c r="E1" s="9" t="s">
        <v>88</v>
      </c>
      <c r="F1" s="8" t="s">
        <v>1</v>
      </c>
      <c r="G1" s="4" t="s">
        <v>147</v>
      </c>
    </row>
    <row r="2" customFormat="false" ht="13.8" hidden="false" customHeight="false" outlineLevel="0" collapsed="false">
      <c r="A2" s="8" t="s">
        <v>92</v>
      </c>
      <c r="B2" s="8" t="s">
        <v>148</v>
      </c>
      <c r="C2" s="8" t="s">
        <v>91</v>
      </c>
      <c r="D2" s="17" t="n">
        <v>0.71753219</v>
      </c>
      <c r="F2" s="8" t="s">
        <v>29</v>
      </c>
      <c r="G2" s="18"/>
    </row>
    <row r="3" customFormat="false" ht="13.8" hidden="false" customHeight="false" outlineLevel="0" collapsed="false">
      <c r="A3" s="8" t="s">
        <v>92</v>
      </c>
      <c r="B3" s="8" t="s">
        <v>149</v>
      </c>
      <c r="C3" s="8" t="s">
        <v>91</v>
      </c>
      <c r="D3" s="17" t="n">
        <v>0.11525083</v>
      </c>
      <c r="F3" s="8" t="s">
        <v>29</v>
      </c>
      <c r="G3" s="18" t="s">
        <v>150</v>
      </c>
    </row>
    <row r="4" customFormat="false" ht="13.8" hidden="false" customHeight="false" outlineLevel="0" collapsed="false">
      <c r="A4" s="8" t="s">
        <v>92</v>
      </c>
      <c r="B4" s="8" t="s">
        <v>151</v>
      </c>
      <c r="C4" s="8" t="s">
        <v>91</v>
      </c>
      <c r="D4" s="17" t="n">
        <v>0.27334078</v>
      </c>
      <c r="F4" s="8" t="s">
        <v>29</v>
      </c>
    </row>
    <row r="5" customFormat="false" ht="13.8" hidden="false" customHeight="false" outlineLevel="0" collapsed="false">
      <c r="A5" s="8" t="s">
        <v>90</v>
      </c>
      <c r="B5" s="8" t="s">
        <v>149</v>
      </c>
      <c r="C5" s="8" t="s">
        <v>91</v>
      </c>
      <c r="D5" s="17" t="n">
        <v>0.072104232</v>
      </c>
      <c r="F5" s="8" t="s">
        <v>29</v>
      </c>
      <c r="G5" s="18" t="s">
        <v>150</v>
      </c>
    </row>
    <row r="6" customFormat="false" ht="13.8" hidden="false" customHeight="false" outlineLevel="0" collapsed="false">
      <c r="A6" s="8" t="s">
        <v>90</v>
      </c>
      <c r="B6" s="8" t="s">
        <v>148</v>
      </c>
      <c r="C6" s="8" t="s">
        <v>91</v>
      </c>
      <c r="D6" s="17" t="n">
        <v>8.5697274E-005</v>
      </c>
      <c r="F6" s="8" t="s">
        <v>29</v>
      </c>
      <c r="G6" s="18"/>
    </row>
    <row r="7" customFormat="false" ht="13.8" hidden="false" customHeight="false" outlineLevel="0" collapsed="false">
      <c r="A7" s="8" t="s">
        <v>90</v>
      </c>
      <c r="B7" s="8" t="s">
        <v>151</v>
      </c>
      <c r="C7" s="8" t="s">
        <v>91</v>
      </c>
      <c r="D7" s="17" t="n">
        <v>0.37237267</v>
      </c>
      <c r="F7" s="8" t="s">
        <v>29</v>
      </c>
    </row>
    <row r="8" customFormat="false" ht="13.8" hidden="false" customHeight="false" outlineLevel="0" collapsed="false">
      <c r="A8" s="8" t="s">
        <v>90</v>
      </c>
      <c r="B8" s="8" t="s">
        <v>152</v>
      </c>
      <c r="C8" s="5" t="s">
        <v>153</v>
      </c>
      <c r="D8" s="17" t="n">
        <v>0.08</v>
      </c>
      <c r="E8" s="9" t="n">
        <v>163.36</v>
      </c>
      <c r="F8" s="5" t="s">
        <v>93</v>
      </c>
      <c r="G8" s="4" t="s">
        <v>154</v>
      </c>
    </row>
    <row r="9" customFormat="false" ht="13.8" hidden="false" customHeight="false" outlineLevel="0" collapsed="false">
      <c r="A9" s="8" t="s">
        <v>90</v>
      </c>
      <c r="B9" s="8" t="s">
        <v>155</v>
      </c>
      <c r="C9" s="5" t="s">
        <v>153</v>
      </c>
      <c r="D9" s="17" t="n">
        <v>0.09</v>
      </c>
      <c r="E9" s="9" t="n">
        <v>183.78</v>
      </c>
      <c r="F9" s="5" t="s">
        <v>93</v>
      </c>
      <c r="G9" s="4" t="s">
        <v>154</v>
      </c>
    </row>
    <row r="10" customFormat="false" ht="13.8" hidden="false" customHeight="false" outlineLevel="0" collapsed="false">
      <c r="A10" s="8" t="s">
        <v>90</v>
      </c>
      <c r="B10" s="8" t="s">
        <v>156</v>
      </c>
      <c r="C10" s="5" t="s">
        <v>153</v>
      </c>
      <c r="D10" s="17" t="n">
        <v>0.08</v>
      </c>
      <c r="E10" s="9" t="n">
        <v>163.36</v>
      </c>
      <c r="F10" s="5" t="s">
        <v>93</v>
      </c>
      <c r="G10" s="4" t="s">
        <v>154</v>
      </c>
    </row>
    <row r="11" customFormat="false" ht="13.8" hidden="false" customHeight="false" outlineLevel="0" collapsed="false">
      <c r="A11" s="8" t="s">
        <v>90</v>
      </c>
      <c r="B11" s="8" t="s">
        <v>157</v>
      </c>
      <c r="C11" s="5" t="s">
        <v>153</v>
      </c>
      <c r="D11" s="17" t="n">
        <v>0.14</v>
      </c>
      <c r="E11" s="9" t="n">
        <v>285.88</v>
      </c>
      <c r="F11" s="5" t="s">
        <v>93</v>
      </c>
      <c r="G11" s="4" t="s">
        <v>154</v>
      </c>
    </row>
    <row r="12" customFormat="false" ht="13.8" hidden="false" customHeight="false" outlineLevel="0" collapsed="false">
      <c r="A12" s="8" t="s">
        <v>90</v>
      </c>
      <c r="B12" s="8" t="s">
        <v>158</v>
      </c>
      <c r="C12" s="5" t="s">
        <v>153</v>
      </c>
      <c r="D12" s="17" t="n">
        <v>0.13</v>
      </c>
      <c r="E12" s="9" t="n">
        <v>265.46</v>
      </c>
      <c r="F12" s="5" t="s">
        <v>93</v>
      </c>
      <c r="G12" s="4" t="s">
        <v>154</v>
      </c>
    </row>
    <row r="13" customFormat="false" ht="13.8" hidden="false" customHeight="false" outlineLevel="0" collapsed="false">
      <c r="A13" s="8" t="s">
        <v>90</v>
      </c>
      <c r="B13" s="8" t="s">
        <v>152</v>
      </c>
      <c r="C13" s="5" t="s">
        <v>153</v>
      </c>
      <c r="D13" s="17" t="n">
        <v>0.095</v>
      </c>
      <c r="E13" s="9" t="n">
        <v>193.99</v>
      </c>
      <c r="F13" s="5" t="s">
        <v>94</v>
      </c>
      <c r="G13" s="18" t="s">
        <v>159</v>
      </c>
    </row>
    <row r="14" customFormat="false" ht="13.8" hidden="false" customHeight="false" outlineLevel="0" collapsed="false">
      <c r="A14" s="8" t="s">
        <v>90</v>
      </c>
      <c r="B14" s="8" t="s">
        <v>160</v>
      </c>
      <c r="C14" s="5" t="s">
        <v>153</v>
      </c>
      <c r="D14" s="17" t="n">
        <v>0.087</v>
      </c>
      <c r="E14" s="9" t="n">
        <v>177.654</v>
      </c>
      <c r="F14" s="5" t="s">
        <v>94</v>
      </c>
      <c r="G14" s="18" t="s">
        <v>159</v>
      </c>
    </row>
    <row r="15" customFormat="false" ht="13.8" hidden="false" customHeight="false" outlineLevel="0" collapsed="false">
      <c r="A15" s="8" t="s">
        <v>90</v>
      </c>
      <c r="B15" s="8" t="s">
        <v>156</v>
      </c>
      <c r="C15" s="5" t="s">
        <v>153</v>
      </c>
      <c r="D15" s="17" t="n">
        <v>0.083</v>
      </c>
      <c r="E15" s="9" t="n">
        <v>169.486</v>
      </c>
      <c r="F15" s="5" t="s">
        <v>94</v>
      </c>
      <c r="G15" s="18" t="s">
        <v>159</v>
      </c>
    </row>
    <row r="16" customFormat="false" ht="13.8" hidden="false" customHeight="false" outlineLevel="0" collapsed="false">
      <c r="A16" s="8" t="s">
        <v>90</v>
      </c>
      <c r="B16" s="8" t="s">
        <v>161</v>
      </c>
      <c r="C16" s="5" t="s">
        <v>153</v>
      </c>
      <c r="D16" s="17" t="n">
        <v>0.004</v>
      </c>
      <c r="E16" s="9" t="n">
        <v>8.168</v>
      </c>
      <c r="F16" s="5" t="s">
        <v>94</v>
      </c>
      <c r="G16" s="18" t="s">
        <v>159</v>
      </c>
    </row>
    <row r="17" customFormat="false" ht="13.8" hidden="false" customHeight="false" outlineLevel="0" collapsed="false">
      <c r="A17" s="8" t="s">
        <v>90</v>
      </c>
      <c r="B17" s="8" t="s">
        <v>162</v>
      </c>
      <c r="C17" s="5" t="s">
        <v>153</v>
      </c>
      <c r="D17" s="17" t="n">
        <v>0.104</v>
      </c>
      <c r="E17" s="9" t="n">
        <v>212.368</v>
      </c>
      <c r="F17" s="5" t="s">
        <v>94</v>
      </c>
      <c r="G17" s="18" t="s">
        <v>159</v>
      </c>
    </row>
    <row r="18" customFormat="false" ht="13.8" hidden="false" customHeight="false" outlineLevel="0" collapsed="false">
      <c r="A18" s="8" t="s">
        <v>90</v>
      </c>
      <c r="B18" s="8" t="s">
        <v>163</v>
      </c>
      <c r="C18" s="5" t="s">
        <v>153</v>
      </c>
      <c r="D18" s="17" t="n">
        <v>0.029</v>
      </c>
      <c r="E18" s="9" t="n">
        <v>59.218</v>
      </c>
      <c r="F18" s="5" t="s">
        <v>94</v>
      </c>
      <c r="G18" s="18" t="s">
        <v>164</v>
      </c>
    </row>
    <row r="19" customFormat="false" ht="13.8" hidden="false" customHeight="false" outlineLevel="0" collapsed="false">
      <c r="A19" s="8" t="s">
        <v>90</v>
      </c>
      <c r="B19" s="8" t="s">
        <v>165</v>
      </c>
      <c r="C19" s="5" t="s">
        <v>153</v>
      </c>
      <c r="D19" s="17" t="n">
        <v>0.002</v>
      </c>
      <c r="E19" s="9" t="n">
        <v>4.084</v>
      </c>
      <c r="F19" s="5" t="s">
        <v>94</v>
      </c>
      <c r="G19" s="18" t="s">
        <v>164</v>
      </c>
    </row>
    <row r="20" customFormat="false" ht="13.8" hidden="false" customHeight="false" outlineLevel="0" collapsed="false">
      <c r="A20" s="8" t="s">
        <v>90</v>
      </c>
      <c r="B20" s="8" t="s">
        <v>166</v>
      </c>
      <c r="C20" s="5" t="s">
        <v>153</v>
      </c>
      <c r="D20" s="17" t="n">
        <v>0.005</v>
      </c>
      <c r="E20" s="9" t="n">
        <v>10.21</v>
      </c>
      <c r="F20" s="5" t="s">
        <v>94</v>
      </c>
      <c r="G20" s="18" t="s">
        <v>164</v>
      </c>
    </row>
    <row r="21" customFormat="false" ht="13.8" hidden="false" customHeight="false" outlineLevel="0" collapsed="false">
      <c r="A21" s="8" t="s">
        <v>90</v>
      </c>
      <c r="B21" s="8" t="s">
        <v>167</v>
      </c>
      <c r="C21" s="5" t="s">
        <v>153</v>
      </c>
      <c r="D21" s="17" t="n">
        <v>0.058</v>
      </c>
      <c r="E21" s="9" t="n">
        <v>118.436</v>
      </c>
      <c r="F21" s="5" t="s">
        <v>94</v>
      </c>
      <c r="G21" s="18" t="s">
        <v>164</v>
      </c>
    </row>
    <row r="22" customFormat="false" ht="13.8" hidden="false" customHeight="false" outlineLevel="0" collapsed="false">
      <c r="A22" s="8" t="s">
        <v>90</v>
      </c>
      <c r="B22" s="8" t="s">
        <v>168</v>
      </c>
      <c r="C22" s="5" t="s">
        <v>153</v>
      </c>
      <c r="D22" s="17" t="n">
        <v>0.047</v>
      </c>
      <c r="E22" s="9" t="n">
        <v>95.974</v>
      </c>
      <c r="F22" s="5" t="s">
        <v>94</v>
      </c>
      <c r="G22" s="18" t="s">
        <v>164</v>
      </c>
    </row>
    <row r="23" customFormat="false" ht="13.8" hidden="false" customHeight="false" outlineLevel="0" collapsed="false">
      <c r="A23" s="8" t="s">
        <v>90</v>
      </c>
      <c r="B23" s="8" t="s">
        <v>169</v>
      </c>
      <c r="C23" s="5" t="s">
        <v>153</v>
      </c>
      <c r="D23" s="17" t="n">
        <v>0.0031</v>
      </c>
      <c r="E23" s="9" t="n">
        <v>6.3302</v>
      </c>
      <c r="F23" s="5" t="s">
        <v>94</v>
      </c>
      <c r="G23" s="18" t="s">
        <v>150</v>
      </c>
    </row>
    <row r="24" customFormat="false" ht="13.8" hidden="false" customHeight="false" outlineLevel="0" collapsed="false">
      <c r="A24" s="8" t="s">
        <v>90</v>
      </c>
      <c r="B24" s="8" t="s">
        <v>152</v>
      </c>
      <c r="C24" s="5" t="s">
        <v>170</v>
      </c>
      <c r="D24" s="17" t="n">
        <v>0.05</v>
      </c>
      <c r="E24" s="9" t="n">
        <v>168.595</v>
      </c>
      <c r="F24" s="5" t="s">
        <v>93</v>
      </c>
      <c r="G24" s="18" t="s">
        <v>150</v>
      </c>
    </row>
    <row r="25" customFormat="false" ht="13.8" hidden="false" customHeight="false" outlineLevel="0" collapsed="false">
      <c r="A25" s="8" t="s">
        <v>90</v>
      </c>
      <c r="B25" s="8" t="s">
        <v>155</v>
      </c>
      <c r="C25" s="5" t="s">
        <v>170</v>
      </c>
      <c r="D25" s="17" t="n">
        <v>0.1</v>
      </c>
      <c r="E25" s="9" t="n">
        <v>337.19</v>
      </c>
      <c r="F25" s="5" t="s">
        <v>93</v>
      </c>
      <c r="G25" s="18" t="s">
        <v>150</v>
      </c>
    </row>
    <row r="26" customFormat="false" ht="13.8" hidden="false" customHeight="false" outlineLevel="0" collapsed="false">
      <c r="A26" s="8" t="s">
        <v>90</v>
      </c>
      <c r="B26" s="8" t="s">
        <v>156</v>
      </c>
      <c r="C26" s="5" t="s">
        <v>170</v>
      </c>
      <c r="D26" s="17" t="n">
        <v>0.07</v>
      </c>
      <c r="E26" s="9" t="n">
        <v>236.033</v>
      </c>
      <c r="F26" s="5" t="s">
        <v>93</v>
      </c>
      <c r="G26" s="18" t="s">
        <v>150</v>
      </c>
    </row>
    <row r="27" customFormat="false" ht="13.8" hidden="false" customHeight="false" outlineLevel="0" collapsed="false">
      <c r="A27" s="8" t="s">
        <v>90</v>
      </c>
      <c r="B27" s="8" t="s">
        <v>157</v>
      </c>
      <c r="C27" s="5" t="s">
        <v>170</v>
      </c>
      <c r="D27" s="17" t="n">
        <v>-0.24</v>
      </c>
      <c r="E27" s="9" t="n">
        <v>-809.256</v>
      </c>
      <c r="F27" s="5" t="s">
        <v>93</v>
      </c>
      <c r="G27" s="18" t="s">
        <v>150</v>
      </c>
    </row>
    <row r="28" customFormat="false" ht="13.8" hidden="false" customHeight="false" outlineLevel="0" collapsed="false">
      <c r="A28" s="8" t="s">
        <v>90</v>
      </c>
      <c r="B28" s="8" t="s">
        <v>158</v>
      </c>
      <c r="C28" s="5" t="s">
        <v>170</v>
      </c>
      <c r="D28" s="17" t="n">
        <v>0.13</v>
      </c>
      <c r="E28" s="9" t="n">
        <v>438.347</v>
      </c>
      <c r="F28" s="5" t="s">
        <v>93</v>
      </c>
      <c r="G28" s="18" t="s">
        <v>171</v>
      </c>
    </row>
    <row r="29" customFormat="false" ht="13.8" hidden="false" customHeight="false" outlineLevel="0" collapsed="false">
      <c r="A29" s="8" t="s">
        <v>90</v>
      </c>
      <c r="B29" s="8" t="s">
        <v>152</v>
      </c>
      <c r="C29" s="5" t="s">
        <v>170</v>
      </c>
      <c r="D29" s="17" t="n">
        <v>0.024</v>
      </c>
      <c r="E29" s="9" t="n">
        <v>80.9256</v>
      </c>
      <c r="F29" s="5" t="s">
        <v>94</v>
      </c>
      <c r="G29" s="18" t="s">
        <v>171</v>
      </c>
    </row>
    <row r="30" customFormat="false" ht="13.8" hidden="false" customHeight="false" outlineLevel="0" collapsed="false">
      <c r="A30" s="8" t="s">
        <v>90</v>
      </c>
      <c r="B30" s="8" t="s">
        <v>160</v>
      </c>
      <c r="C30" s="5" t="s">
        <v>170</v>
      </c>
      <c r="D30" s="17" t="n">
        <v>0.111</v>
      </c>
      <c r="E30" s="9" t="n">
        <v>374.2809</v>
      </c>
      <c r="F30" s="5" t="s">
        <v>94</v>
      </c>
      <c r="G30" s="18" t="s">
        <v>171</v>
      </c>
    </row>
    <row r="31" customFormat="false" ht="13.8" hidden="false" customHeight="false" outlineLevel="0" collapsed="false">
      <c r="A31" s="8" t="s">
        <v>90</v>
      </c>
      <c r="B31" s="8" t="s">
        <v>156</v>
      </c>
      <c r="C31" s="5" t="s">
        <v>170</v>
      </c>
      <c r="D31" s="17" t="n">
        <v>0.18</v>
      </c>
      <c r="E31" s="9" t="n">
        <v>606.942</v>
      </c>
      <c r="F31" s="5" t="s">
        <v>94</v>
      </c>
      <c r="G31" s="18" t="s">
        <v>171</v>
      </c>
    </row>
    <row r="32" customFormat="false" ht="13.8" hidden="false" customHeight="false" outlineLevel="0" collapsed="false">
      <c r="A32" s="8" t="s">
        <v>90</v>
      </c>
      <c r="B32" s="8" t="s">
        <v>161</v>
      </c>
      <c r="C32" s="5" t="s">
        <v>170</v>
      </c>
      <c r="D32" s="17" t="n">
        <v>0</v>
      </c>
      <c r="E32" s="9" t="n">
        <v>0</v>
      </c>
      <c r="F32" s="5" t="s">
        <v>94</v>
      </c>
      <c r="G32" s="18" t="s">
        <v>171</v>
      </c>
    </row>
    <row r="33" customFormat="false" ht="13.8" hidden="false" customHeight="false" outlineLevel="0" collapsed="false">
      <c r="A33" s="8" t="s">
        <v>90</v>
      </c>
      <c r="B33" s="8" t="s">
        <v>162</v>
      </c>
      <c r="C33" s="5" t="s">
        <v>170</v>
      </c>
      <c r="D33" s="17" t="n">
        <v>0.023</v>
      </c>
      <c r="E33" s="9" t="n">
        <v>77.5537</v>
      </c>
      <c r="F33" s="5" t="s">
        <v>94</v>
      </c>
      <c r="G33" s="4" t="s">
        <v>154</v>
      </c>
    </row>
    <row r="34" customFormat="false" ht="13.8" hidden="false" customHeight="false" outlineLevel="0" collapsed="false">
      <c r="A34" s="8" t="s">
        <v>90</v>
      </c>
      <c r="B34" s="8" t="s">
        <v>163</v>
      </c>
      <c r="C34" s="5" t="s">
        <v>170</v>
      </c>
      <c r="D34" s="17" t="n">
        <v>-0.098</v>
      </c>
      <c r="E34" s="9" t="n">
        <v>-330.4462</v>
      </c>
      <c r="F34" s="5" t="s">
        <v>94</v>
      </c>
      <c r="G34" s="4" t="s">
        <v>154</v>
      </c>
    </row>
    <row r="35" customFormat="false" ht="13.8" hidden="false" customHeight="false" outlineLevel="0" collapsed="false">
      <c r="A35" s="8" t="s">
        <v>90</v>
      </c>
      <c r="B35" s="8" t="s">
        <v>165</v>
      </c>
      <c r="C35" s="5" t="s">
        <v>170</v>
      </c>
      <c r="D35" s="17" t="n">
        <v>0</v>
      </c>
      <c r="E35" s="9" t="n">
        <v>0</v>
      </c>
      <c r="F35" s="5" t="s">
        <v>94</v>
      </c>
      <c r="G35" s="4" t="s">
        <v>154</v>
      </c>
    </row>
    <row r="36" customFormat="false" ht="13.8" hidden="false" customHeight="false" outlineLevel="0" collapsed="false">
      <c r="A36" s="8" t="s">
        <v>90</v>
      </c>
      <c r="B36" s="8" t="s">
        <v>166</v>
      </c>
      <c r="C36" s="5" t="s">
        <v>170</v>
      </c>
      <c r="D36" s="17" t="n">
        <v>0.005</v>
      </c>
      <c r="E36" s="9" t="n">
        <v>16.8595</v>
      </c>
      <c r="F36" s="5" t="s">
        <v>94</v>
      </c>
      <c r="G36" s="4" t="s">
        <v>154</v>
      </c>
    </row>
    <row r="37" customFormat="false" ht="13.8" hidden="false" customHeight="false" outlineLevel="0" collapsed="false">
      <c r="A37" s="8" t="s">
        <v>90</v>
      </c>
      <c r="B37" s="8" t="s">
        <v>167</v>
      </c>
      <c r="C37" s="5" t="s">
        <v>170</v>
      </c>
      <c r="D37" s="17" t="n">
        <v>0</v>
      </c>
      <c r="E37" s="9" t="n">
        <v>0</v>
      </c>
      <c r="F37" s="5" t="s">
        <v>94</v>
      </c>
      <c r="G37" s="4" t="s">
        <v>154</v>
      </c>
    </row>
    <row r="38" customFormat="false" ht="13.8" hidden="false" customHeight="false" outlineLevel="0" collapsed="false">
      <c r="A38" s="8" t="s">
        <v>90</v>
      </c>
      <c r="B38" s="8" t="s">
        <v>168</v>
      </c>
      <c r="C38" s="5" t="s">
        <v>170</v>
      </c>
      <c r="D38" s="17" t="n">
        <v>0.019</v>
      </c>
      <c r="E38" s="9" t="n">
        <v>64.0661</v>
      </c>
      <c r="F38" s="5" t="s">
        <v>94</v>
      </c>
      <c r="G38" s="18" t="s">
        <v>159</v>
      </c>
    </row>
    <row r="39" customFormat="false" ht="13.8" hidden="false" customHeight="false" outlineLevel="0" collapsed="false">
      <c r="A39" s="8" t="s">
        <v>90</v>
      </c>
      <c r="B39" s="8" t="s">
        <v>169</v>
      </c>
      <c r="C39" s="5" t="s">
        <v>170</v>
      </c>
      <c r="D39" s="17" t="n">
        <v>0.001</v>
      </c>
      <c r="E39" s="9" t="n">
        <v>3.3719</v>
      </c>
      <c r="F39" s="5" t="s">
        <v>94</v>
      </c>
      <c r="G39" s="18" t="s">
        <v>159</v>
      </c>
    </row>
    <row r="40" customFormat="false" ht="13.8" hidden="false" customHeight="false" outlineLevel="0" collapsed="false">
      <c r="A40" s="8" t="s">
        <v>90</v>
      </c>
      <c r="B40" s="8" t="s">
        <v>152</v>
      </c>
      <c r="C40" s="5" t="s">
        <v>91</v>
      </c>
      <c r="D40" s="17" t="n">
        <v>0.04</v>
      </c>
      <c r="E40" s="9" t="n">
        <v>283.6</v>
      </c>
      <c r="F40" s="5" t="s">
        <v>93</v>
      </c>
      <c r="G40" s="18" t="s">
        <v>159</v>
      </c>
    </row>
    <row r="41" customFormat="false" ht="13.8" hidden="false" customHeight="false" outlineLevel="0" collapsed="false">
      <c r="A41" s="8" t="s">
        <v>90</v>
      </c>
      <c r="B41" s="8" t="s">
        <v>155</v>
      </c>
      <c r="C41" s="5" t="s">
        <v>91</v>
      </c>
      <c r="D41" s="17" t="n">
        <v>0.11</v>
      </c>
      <c r="E41" s="9" t="n">
        <v>779.9</v>
      </c>
      <c r="F41" s="5" t="s">
        <v>93</v>
      </c>
      <c r="G41" s="18" t="s">
        <v>159</v>
      </c>
      <c r="H41" s="5"/>
    </row>
    <row r="42" customFormat="false" ht="13.8" hidden="false" customHeight="false" outlineLevel="0" collapsed="false">
      <c r="A42" s="8" t="s">
        <v>90</v>
      </c>
      <c r="B42" s="8" t="s">
        <v>156</v>
      </c>
      <c r="C42" s="5" t="s">
        <v>91</v>
      </c>
      <c r="D42" s="17" t="n">
        <v>0.22</v>
      </c>
      <c r="E42" s="9" t="n">
        <v>1559.8</v>
      </c>
      <c r="F42" s="5" t="s">
        <v>93</v>
      </c>
      <c r="G42" s="18" t="s">
        <v>159</v>
      </c>
      <c r="H42" s="5"/>
    </row>
    <row r="43" customFormat="false" ht="13.8" hidden="false" customHeight="false" outlineLevel="0" collapsed="false">
      <c r="A43" s="8" t="s">
        <v>90</v>
      </c>
      <c r="B43" s="8" t="s">
        <v>157</v>
      </c>
      <c r="C43" s="5" t="s">
        <v>91</v>
      </c>
      <c r="D43" s="17" t="n">
        <v>0.05</v>
      </c>
      <c r="E43" s="9" t="n">
        <v>354.5</v>
      </c>
      <c r="F43" s="5" t="s">
        <v>93</v>
      </c>
      <c r="G43" s="4" t="s">
        <v>164</v>
      </c>
      <c r="H43" s="5"/>
    </row>
    <row r="44" customFormat="false" ht="13.8" hidden="false" customHeight="false" outlineLevel="0" collapsed="false">
      <c r="A44" s="8" t="s">
        <v>90</v>
      </c>
      <c r="B44" s="8" t="s">
        <v>158</v>
      </c>
      <c r="C44" s="5" t="s">
        <v>91</v>
      </c>
      <c r="D44" s="17" t="n">
        <v>0.17</v>
      </c>
      <c r="E44" s="9" t="n">
        <v>1205.3</v>
      </c>
      <c r="F44" s="5" t="s">
        <v>93</v>
      </c>
      <c r="G44" s="4" t="s">
        <v>164</v>
      </c>
      <c r="H44" s="5"/>
    </row>
    <row r="45" customFormat="false" ht="13.8" hidden="false" customHeight="false" outlineLevel="0" collapsed="false">
      <c r="A45" s="8" t="s">
        <v>90</v>
      </c>
      <c r="B45" s="8" t="s">
        <v>152</v>
      </c>
      <c r="C45" s="5" t="s">
        <v>91</v>
      </c>
      <c r="D45" s="17" t="n">
        <v>0.043</v>
      </c>
      <c r="E45" s="9" t="n">
        <v>304.87</v>
      </c>
      <c r="F45" s="5" t="s">
        <v>94</v>
      </c>
      <c r="G45" s="4" t="s">
        <v>164</v>
      </c>
      <c r="H45" s="5"/>
    </row>
    <row r="46" customFormat="false" ht="13.8" hidden="false" customHeight="false" outlineLevel="0" collapsed="false">
      <c r="A46" s="8" t="s">
        <v>90</v>
      </c>
      <c r="B46" s="8" t="s">
        <v>160</v>
      </c>
      <c r="C46" s="5" t="s">
        <v>91</v>
      </c>
      <c r="D46" s="17" t="n">
        <v>0.087</v>
      </c>
      <c r="E46" s="9" t="n">
        <v>616.83</v>
      </c>
      <c r="F46" s="5" t="s">
        <v>94</v>
      </c>
      <c r="G46" s="4" t="s">
        <v>164</v>
      </c>
      <c r="H46" s="5"/>
    </row>
    <row r="47" customFormat="false" ht="13.8" hidden="false" customHeight="false" outlineLevel="0" collapsed="false">
      <c r="A47" s="8" t="s">
        <v>90</v>
      </c>
      <c r="B47" s="8" t="s">
        <v>156</v>
      </c>
      <c r="C47" s="5" t="s">
        <v>91</v>
      </c>
      <c r="D47" s="17" t="n">
        <v>0.234</v>
      </c>
      <c r="E47" s="9" t="n">
        <v>1659.06</v>
      </c>
      <c r="F47" s="5" t="s">
        <v>94</v>
      </c>
      <c r="G47" s="4" t="s">
        <v>164</v>
      </c>
      <c r="H47" s="8"/>
    </row>
    <row r="48" customFormat="false" ht="13.8" hidden="false" customHeight="false" outlineLevel="0" collapsed="false">
      <c r="A48" s="8" t="s">
        <v>90</v>
      </c>
      <c r="B48" s="8" t="s">
        <v>161</v>
      </c>
      <c r="C48" s="5" t="s">
        <v>91</v>
      </c>
      <c r="D48" s="17" t="n">
        <v>0.006</v>
      </c>
      <c r="E48" s="9" t="n">
        <v>42.54</v>
      </c>
      <c r="F48" s="5" t="s">
        <v>94</v>
      </c>
      <c r="G48" s="4" t="s">
        <v>164</v>
      </c>
      <c r="H48" s="8"/>
    </row>
    <row r="49" customFormat="false" ht="13.8" hidden="false" customHeight="false" outlineLevel="0" collapsed="false">
      <c r="A49" s="8" t="s">
        <v>90</v>
      </c>
      <c r="B49" s="8" t="s">
        <v>162</v>
      </c>
      <c r="C49" s="5" t="s">
        <v>91</v>
      </c>
      <c r="D49" s="17" t="n">
        <v>0.036</v>
      </c>
      <c r="E49" s="9" t="n">
        <v>255.24</v>
      </c>
      <c r="F49" s="5" t="s">
        <v>94</v>
      </c>
      <c r="G49" s="4" t="s">
        <v>164</v>
      </c>
      <c r="H49" s="1"/>
    </row>
    <row r="50" customFormat="false" ht="13.8" hidden="false" customHeight="false" outlineLevel="0" collapsed="false">
      <c r="A50" s="8" t="s">
        <v>90</v>
      </c>
      <c r="B50" s="8" t="s">
        <v>163</v>
      </c>
      <c r="C50" s="5" t="s">
        <v>91</v>
      </c>
      <c r="D50" s="17" t="n">
        <v>0.098</v>
      </c>
      <c r="E50" s="9" t="n">
        <v>694.82</v>
      </c>
      <c r="F50" s="5" t="s">
        <v>94</v>
      </c>
      <c r="G50" s="4" t="s">
        <v>164</v>
      </c>
      <c r="H50" s="1"/>
    </row>
    <row r="51" customFormat="false" ht="13.8" hidden="false" customHeight="false" outlineLevel="0" collapsed="false">
      <c r="A51" s="8" t="s">
        <v>90</v>
      </c>
      <c r="B51" s="8" t="s">
        <v>165</v>
      </c>
      <c r="C51" s="5" t="s">
        <v>91</v>
      </c>
      <c r="D51" s="17" t="n">
        <v>0</v>
      </c>
      <c r="E51" s="9" t="n">
        <v>0</v>
      </c>
      <c r="F51" s="5" t="s">
        <v>94</v>
      </c>
      <c r="G51" s="4" t="s">
        <v>164</v>
      </c>
      <c r="H51" s="1"/>
    </row>
    <row r="52" customFormat="false" ht="13.8" hidden="false" customHeight="false" outlineLevel="0" collapsed="false">
      <c r="A52" s="8" t="s">
        <v>90</v>
      </c>
      <c r="B52" s="8" t="s">
        <v>166</v>
      </c>
      <c r="C52" s="5" t="s">
        <v>91</v>
      </c>
      <c r="D52" s="17" t="n">
        <v>0.002</v>
      </c>
      <c r="E52" s="9" t="n">
        <v>14.18</v>
      </c>
      <c r="F52" s="5" t="s">
        <v>94</v>
      </c>
      <c r="G52" s="4" t="s">
        <v>164</v>
      </c>
      <c r="H52" s="1"/>
    </row>
    <row r="53" customFormat="false" ht="13.8" hidden="false" customHeight="false" outlineLevel="0" collapsed="false">
      <c r="A53" s="8" t="s">
        <v>90</v>
      </c>
      <c r="B53" s="8" t="s">
        <v>167</v>
      </c>
      <c r="C53" s="5" t="s">
        <v>91</v>
      </c>
      <c r="D53" s="17" t="n">
        <v>0.073</v>
      </c>
      <c r="E53" s="9" t="n">
        <v>517.57</v>
      </c>
      <c r="F53" s="5" t="s">
        <v>94</v>
      </c>
      <c r="G53" s="4" t="s">
        <v>150</v>
      </c>
      <c r="H53" s="1"/>
    </row>
    <row r="54" customFormat="false" ht="13.8" hidden="false" customHeight="false" outlineLevel="0" collapsed="false">
      <c r="A54" s="8" t="s">
        <v>90</v>
      </c>
      <c r="B54" s="8" t="s">
        <v>168</v>
      </c>
      <c r="C54" s="5" t="s">
        <v>91</v>
      </c>
      <c r="D54" s="17" t="n">
        <v>0.01</v>
      </c>
      <c r="E54" s="9" t="n">
        <v>70.9</v>
      </c>
      <c r="F54" s="5" t="s">
        <v>94</v>
      </c>
      <c r="G54" s="4" t="s">
        <v>150</v>
      </c>
      <c r="H54" s="1"/>
    </row>
    <row r="55" customFormat="false" ht="13.8" hidden="false" customHeight="false" outlineLevel="0" collapsed="false">
      <c r="A55" s="8" t="s">
        <v>90</v>
      </c>
      <c r="B55" s="8" t="s">
        <v>169</v>
      </c>
      <c r="C55" s="5" t="s">
        <v>91</v>
      </c>
      <c r="D55" s="17" t="n">
        <v>0.003</v>
      </c>
      <c r="E55" s="9" t="n">
        <v>21.27</v>
      </c>
      <c r="F55" s="5" t="s">
        <v>94</v>
      </c>
      <c r="G55" s="4" t="s">
        <v>150</v>
      </c>
    </row>
    <row r="56" customFormat="false" ht="13.8" hidden="false" customHeight="false" outlineLevel="0" collapsed="false">
      <c r="A56" s="8" t="s">
        <v>90</v>
      </c>
      <c r="B56" s="8" t="s">
        <v>152</v>
      </c>
      <c r="C56" s="5" t="s">
        <v>95</v>
      </c>
      <c r="D56" s="17" t="n">
        <v>0.05</v>
      </c>
      <c r="E56" s="9" t="n">
        <v>368</v>
      </c>
      <c r="F56" s="5" t="s">
        <v>93</v>
      </c>
      <c r="G56" s="4" t="s">
        <v>150</v>
      </c>
    </row>
    <row r="57" customFormat="false" ht="13.8" hidden="false" customHeight="false" outlineLevel="0" collapsed="false">
      <c r="A57" s="8" t="s">
        <v>90</v>
      </c>
      <c r="B57" s="8" t="s">
        <v>155</v>
      </c>
      <c r="C57" s="5" t="s">
        <v>95</v>
      </c>
      <c r="D57" s="17" t="n">
        <v>0.14</v>
      </c>
      <c r="E57" s="9" t="n">
        <v>1030.4</v>
      </c>
      <c r="F57" s="5" t="s">
        <v>93</v>
      </c>
      <c r="G57" s="4" t="s">
        <v>150</v>
      </c>
    </row>
    <row r="58" customFormat="false" ht="13.8" hidden="false" customHeight="false" outlineLevel="0" collapsed="false">
      <c r="A58" s="8" t="s">
        <v>90</v>
      </c>
      <c r="B58" s="8" t="s">
        <v>156</v>
      </c>
      <c r="C58" s="5" t="s">
        <v>95</v>
      </c>
      <c r="D58" s="17" t="n">
        <v>0.22</v>
      </c>
      <c r="E58" s="9" t="n">
        <v>1619.2</v>
      </c>
      <c r="F58" s="5" t="s">
        <v>93</v>
      </c>
      <c r="G58" s="4" t="s">
        <v>150</v>
      </c>
    </row>
    <row r="59" customFormat="false" ht="13.8" hidden="false" customHeight="false" outlineLevel="0" collapsed="false">
      <c r="A59" s="8" t="s">
        <v>90</v>
      </c>
      <c r="B59" s="8" t="s">
        <v>157</v>
      </c>
      <c r="C59" s="5" t="s">
        <v>95</v>
      </c>
      <c r="D59" s="17" t="n">
        <v>0.05</v>
      </c>
      <c r="E59" s="9" t="n">
        <v>368</v>
      </c>
      <c r="F59" s="5" t="s">
        <v>93</v>
      </c>
      <c r="G59" s="4" t="s">
        <v>150</v>
      </c>
    </row>
    <row r="60" customFormat="false" ht="13.8" hidden="false" customHeight="false" outlineLevel="0" collapsed="false">
      <c r="A60" s="8" t="s">
        <v>90</v>
      </c>
      <c r="B60" s="8" t="s">
        <v>158</v>
      </c>
      <c r="C60" s="5" t="s">
        <v>95</v>
      </c>
      <c r="D60" s="17" t="n">
        <v>0.19</v>
      </c>
      <c r="E60" s="9" t="n">
        <v>1398.4</v>
      </c>
      <c r="F60" s="5" t="s">
        <v>93</v>
      </c>
      <c r="G60" s="4" t="s">
        <v>150</v>
      </c>
    </row>
    <row r="61" customFormat="false" ht="13.8" hidden="false" customHeight="false" outlineLevel="0" collapsed="false">
      <c r="A61" s="8" t="s">
        <v>90</v>
      </c>
      <c r="B61" s="8" t="s">
        <v>152</v>
      </c>
      <c r="C61" s="5" t="s">
        <v>95</v>
      </c>
      <c r="D61" s="17" t="n">
        <v>0.044</v>
      </c>
      <c r="E61" s="9" t="n">
        <v>323.84</v>
      </c>
      <c r="F61" s="5" t="s">
        <v>94</v>
      </c>
      <c r="G61" s="4" t="s">
        <v>150</v>
      </c>
    </row>
    <row r="62" customFormat="false" ht="13.8" hidden="false" customHeight="false" outlineLevel="0" collapsed="false">
      <c r="A62" s="8" t="s">
        <v>90</v>
      </c>
      <c r="B62" s="8" t="s">
        <v>160</v>
      </c>
      <c r="C62" s="5" t="s">
        <v>95</v>
      </c>
      <c r="D62" s="17" t="n">
        <v>0.084</v>
      </c>
      <c r="E62" s="9" t="n">
        <v>618.24</v>
      </c>
      <c r="F62" s="5" t="s">
        <v>94</v>
      </c>
      <c r="G62" s="4" t="s">
        <v>150</v>
      </c>
    </row>
    <row r="63" customFormat="false" ht="13.8" hidden="false" customHeight="false" outlineLevel="0" collapsed="false">
      <c r="A63" s="8" t="s">
        <v>90</v>
      </c>
      <c r="B63" s="8" t="s">
        <v>156</v>
      </c>
      <c r="C63" s="5" t="s">
        <v>95</v>
      </c>
      <c r="D63" s="17" t="n">
        <v>0.227</v>
      </c>
      <c r="E63" s="9" t="n">
        <v>1670.72</v>
      </c>
      <c r="F63" s="5" t="s">
        <v>94</v>
      </c>
      <c r="G63" s="4" t="s">
        <v>171</v>
      </c>
    </row>
    <row r="64" customFormat="false" ht="13.8" hidden="false" customHeight="false" outlineLevel="0" collapsed="false">
      <c r="A64" s="8" t="s">
        <v>90</v>
      </c>
      <c r="B64" s="8" t="s">
        <v>161</v>
      </c>
      <c r="C64" s="5" t="s">
        <v>95</v>
      </c>
      <c r="D64" s="17" t="n">
        <v>0.01</v>
      </c>
      <c r="E64" s="9" t="n">
        <v>73.6</v>
      </c>
      <c r="F64" s="5" t="s">
        <v>94</v>
      </c>
      <c r="G64" s="4" t="s">
        <v>171</v>
      </c>
    </row>
    <row r="65" customFormat="false" ht="13.8" hidden="false" customHeight="false" outlineLevel="0" collapsed="false">
      <c r="A65" s="8" t="s">
        <v>90</v>
      </c>
      <c r="B65" s="8" t="s">
        <v>162</v>
      </c>
      <c r="C65" s="5" t="s">
        <v>95</v>
      </c>
      <c r="D65" s="17" t="n">
        <v>0.035</v>
      </c>
      <c r="E65" s="9" t="n">
        <v>257.6</v>
      </c>
      <c r="F65" s="5" t="s">
        <v>94</v>
      </c>
      <c r="G65" s="4" t="s">
        <v>171</v>
      </c>
    </row>
    <row r="66" customFormat="false" ht="13.8" hidden="false" customHeight="false" outlineLevel="0" collapsed="false">
      <c r="A66" s="8" t="s">
        <v>90</v>
      </c>
      <c r="B66" s="8" t="s">
        <v>163</v>
      </c>
      <c r="C66" s="5" t="s">
        <v>95</v>
      </c>
      <c r="D66" s="17" t="n">
        <v>0.171</v>
      </c>
      <c r="E66" s="9" t="n">
        <v>1258.56</v>
      </c>
      <c r="F66" s="5" t="s">
        <v>94</v>
      </c>
      <c r="G66" s="4" t="s">
        <v>171</v>
      </c>
    </row>
    <row r="67" customFormat="false" ht="13.8" hidden="false" customHeight="false" outlineLevel="0" collapsed="false">
      <c r="A67" s="8" t="s">
        <v>90</v>
      </c>
      <c r="B67" s="8" t="s">
        <v>165</v>
      </c>
      <c r="C67" s="5" t="s">
        <v>95</v>
      </c>
      <c r="D67" s="17" t="n">
        <v>0</v>
      </c>
      <c r="E67" s="9" t="n">
        <v>0</v>
      </c>
      <c r="F67" s="5" t="s">
        <v>94</v>
      </c>
      <c r="G67" s="4" t="s">
        <v>171</v>
      </c>
    </row>
    <row r="68" customFormat="false" ht="13.8" hidden="false" customHeight="false" outlineLevel="0" collapsed="false">
      <c r="A68" s="8" t="s">
        <v>90</v>
      </c>
      <c r="B68" s="8" t="s">
        <v>166</v>
      </c>
      <c r="C68" s="5" t="s">
        <v>95</v>
      </c>
      <c r="D68" s="17" t="n">
        <v>0.003</v>
      </c>
      <c r="E68" s="9" t="n">
        <v>22.08</v>
      </c>
      <c r="F68" s="5" t="s">
        <v>94</v>
      </c>
      <c r="G68" s="4" t="s">
        <v>171</v>
      </c>
    </row>
    <row r="69" customFormat="false" ht="13.8" hidden="false" customHeight="false" outlineLevel="0" collapsed="false">
      <c r="A69" s="8" t="s">
        <v>90</v>
      </c>
      <c r="B69" s="8" t="s">
        <v>167</v>
      </c>
      <c r="C69" s="5" t="s">
        <v>95</v>
      </c>
      <c r="D69" s="17" t="n">
        <v>0.06</v>
      </c>
      <c r="E69" s="9" t="n">
        <v>441.6</v>
      </c>
      <c r="F69" s="5" t="s">
        <v>94</v>
      </c>
      <c r="G69" s="4" t="s">
        <v>171</v>
      </c>
    </row>
    <row r="70" customFormat="false" ht="13.8" hidden="false" customHeight="false" outlineLevel="0" collapsed="false">
      <c r="A70" s="8" t="s">
        <v>90</v>
      </c>
      <c r="B70" s="8" t="s">
        <v>168</v>
      </c>
      <c r="C70" s="5" t="s">
        <v>95</v>
      </c>
      <c r="D70" s="17" t="n">
        <v>0.009</v>
      </c>
      <c r="E70" s="9" t="n">
        <v>66.24</v>
      </c>
      <c r="F70" s="5" t="s">
        <v>94</v>
      </c>
      <c r="G70" s="4" t="s">
        <v>171</v>
      </c>
    </row>
    <row r="71" customFormat="false" ht="13.8" hidden="false" customHeight="false" outlineLevel="0" collapsed="false">
      <c r="A71" s="8" t="s">
        <v>90</v>
      </c>
      <c r="B71" s="8" t="s">
        <v>169</v>
      </c>
      <c r="C71" s="5" t="s">
        <v>95</v>
      </c>
      <c r="D71" s="17" t="n">
        <v>0.005</v>
      </c>
      <c r="E71" s="9" t="n">
        <v>36.8</v>
      </c>
      <c r="F71" s="5" t="s">
        <v>94</v>
      </c>
      <c r="G71" s="4" t="s">
        <v>171</v>
      </c>
    </row>
    <row r="72" customFormat="false" ht="13.8" hidden="false" customHeight="false" outlineLevel="0" collapsed="false">
      <c r="A72" s="8" t="s">
        <v>90</v>
      </c>
      <c r="B72" s="8" t="s">
        <v>152</v>
      </c>
      <c r="C72" s="5" t="s">
        <v>172</v>
      </c>
      <c r="D72" s="17" t="n">
        <v>0.1</v>
      </c>
      <c r="E72" s="9" t="n">
        <v>322.2</v>
      </c>
      <c r="F72" s="5" t="s">
        <v>93</v>
      </c>
      <c r="G72" s="4" t="s">
        <v>171</v>
      </c>
    </row>
    <row r="73" customFormat="false" ht="13.8" hidden="false" customHeight="false" outlineLevel="0" collapsed="false">
      <c r="A73" s="8" t="s">
        <v>90</v>
      </c>
      <c r="B73" s="8" t="s">
        <v>155</v>
      </c>
      <c r="C73" s="5" t="s">
        <v>172</v>
      </c>
      <c r="D73" s="17" t="n">
        <v>0.13</v>
      </c>
      <c r="E73" s="9" t="n">
        <v>418.86</v>
      </c>
      <c r="F73" s="5" t="s">
        <v>93</v>
      </c>
      <c r="G73" s="4" t="s">
        <v>171</v>
      </c>
    </row>
    <row r="74" customFormat="false" ht="13.8" hidden="false" customHeight="false" outlineLevel="0" collapsed="false">
      <c r="A74" s="8" t="s">
        <v>90</v>
      </c>
      <c r="B74" s="8" t="s">
        <v>156</v>
      </c>
      <c r="C74" s="5" t="s">
        <v>172</v>
      </c>
      <c r="D74" s="17" t="n">
        <v>0.15</v>
      </c>
      <c r="E74" s="9" t="n">
        <v>483.3</v>
      </c>
      <c r="F74" s="5" t="s">
        <v>93</v>
      </c>
      <c r="G74" s="4" t="s">
        <v>171</v>
      </c>
    </row>
    <row r="75" customFormat="false" ht="13.8" hidden="false" customHeight="false" outlineLevel="0" collapsed="false">
      <c r="A75" s="8" t="s">
        <v>90</v>
      </c>
      <c r="B75" s="8" t="s">
        <v>157</v>
      </c>
      <c r="C75" s="5" t="s">
        <v>172</v>
      </c>
      <c r="D75" s="17" t="n">
        <v>0.04</v>
      </c>
      <c r="E75" s="9" t="n">
        <v>128.88</v>
      </c>
      <c r="F75" s="5" t="s">
        <v>93</v>
      </c>
      <c r="G75" s="4" t="s">
        <v>171</v>
      </c>
    </row>
    <row r="76" customFormat="false" ht="13.8" hidden="false" customHeight="false" outlineLevel="0" collapsed="false">
      <c r="A76" s="8" t="s">
        <v>90</v>
      </c>
      <c r="B76" s="8" t="s">
        <v>158</v>
      </c>
      <c r="C76" s="5" t="s">
        <v>172</v>
      </c>
      <c r="D76" s="17" t="n">
        <v>0.18</v>
      </c>
      <c r="E76" s="9" t="n">
        <v>579.96</v>
      </c>
      <c r="F76" s="5" t="s">
        <v>93</v>
      </c>
      <c r="G76" s="4" t="s">
        <v>171</v>
      </c>
    </row>
    <row r="77" customFormat="false" ht="13.8" hidden="false" customHeight="false" outlineLevel="0" collapsed="false">
      <c r="A77" s="8" t="s">
        <v>90</v>
      </c>
      <c r="B77" s="8" t="s">
        <v>152</v>
      </c>
      <c r="C77" s="5" t="s">
        <v>172</v>
      </c>
      <c r="D77" s="17" t="n">
        <v>0.099</v>
      </c>
      <c r="E77" s="9" t="n">
        <v>318.978</v>
      </c>
      <c r="F77" s="5" t="s">
        <v>94</v>
      </c>
      <c r="G77" s="4" t="s">
        <v>171</v>
      </c>
    </row>
    <row r="78" customFormat="false" ht="13.8" hidden="false" customHeight="false" outlineLevel="0" collapsed="false">
      <c r="A78" s="8" t="s">
        <v>90</v>
      </c>
      <c r="B78" s="8" t="s">
        <v>160</v>
      </c>
      <c r="C78" s="5" t="s">
        <v>172</v>
      </c>
      <c r="D78" s="17" t="n">
        <v>0.118</v>
      </c>
      <c r="E78" s="9" t="n">
        <v>380.196</v>
      </c>
      <c r="F78" s="5" t="s">
        <v>94</v>
      </c>
      <c r="G78" s="4" t="s">
        <v>171</v>
      </c>
    </row>
    <row r="79" customFormat="false" ht="13.8" hidden="false" customHeight="false" outlineLevel="0" collapsed="false">
      <c r="A79" s="8" t="s">
        <v>90</v>
      </c>
      <c r="B79" s="8" t="s">
        <v>156</v>
      </c>
      <c r="C79" s="5" t="s">
        <v>172</v>
      </c>
      <c r="D79" s="17" t="n">
        <v>0.147</v>
      </c>
      <c r="E79" s="9" t="n">
        <v>473.634</v>
      </c>
      <c r="F79" s="5" t="s">
        <v>94</v>
      </c>
      <c r="G79" s="4" t="s">
        <v>171</v>
      </c>
    </row>
    <row r="80" customFormat="false" ht="13.8" hidden="false" customHeight="false" outlineLevel="0" collapsed="false">
      <c r="A80" s="8" t="s">
        <v>90</v>
      </c>
      <c r="B80" s="8" t="s">
        <v>161</v>
      </c>
      <c r="C80" s="5" t="s">
        <v>172</v>
      </c>
      <c r="D80" s="17" t="n">
        <v>0.01</v>
      </c>
      <c r="E80" s="9" t="n">
        <v>32.22</v>
      </c>
      <c r="F80" s="5" t="s">
        <v>94</v>
      </c>
      <c r="G80" s="4" t="s">
        <v>171</v>
      </c>
    </row>
    <row r="81" customFormat="false" ht="13.8" hidden="false" customHeight="false" outlineLevel="0" collapsed="false">
      <c r="A81" s="8" t="s">
        <v>90</v>
      </c>
      <c r="B81" s="8" t="s">
        <v>162</v>
      </c>
      <c r="C81" s="5" t="s">
        <v>172</v>
      </c>
      <c r="D81" s="17" t="n">
        <v>0.068</v>
      </c>
      <c r="E81" s="9" t="n">
        <v>219.096</v>
      </c>
      <c r="F81" s="5" t="s">
        <v>94</v>
      </c>
      <c r="G81" s="4" t="s">
        <v>171</v>
      </c>
    </row>
    <row r="82" customFormat="false" ht="13.8" hidden="false" customHeight="false" outlineLevel="0" collapsed="false">
      <c r="A82" s="8" t="s">
        <v>90</v>
      </c>
      <c r="B82" s="8" t="s">
        <v>163</v>
      </c>
      <c r="C82" s="5" t="s">
        <v>172</v>
      </c>
      <c r="D82" s="17" t="n">
        <v>0.057</v>
      </c>
      <c r="E82" s="9" t="n">
        <v>183.654</v>
      </c>
      <c r="F82" s="5" t="s">
        <v>94</v>
      </c>
      <c r="G82" s="4" t="s">
        <v>171</v>
      </c>
    </row>
    <row r="83" customFormat="false" ht="13.8" hidden="false" customHeight="false" outlineLevel="0" collapsed="false">
      <c r="A83" s="8" t="s">
        <v>90</v>
      </c>
      <c r="B83" s="8" t="s">
        <v>165</v>
      </c>
      <c r="C83" s="5" t="s">
        <v>172</v>
      </c>
      <c r="D83" s="17" t="n">
        <v>0</v>
      </c>
      <c r="E83" s="9" t="n">
        <v>0</v>
      </c>
      <c r="F83" s="5" t="s">
        <v>94</v>
      </c>
      <c r="G83" s="4" t="s">
        <v>171</v>
      </c>
    </row>
    <row r="84" customFormat="false" ht="13.8" hidden="false" customHeight="false" outlineLevel="0" collapsed="false">
      <c r="A84" s="8" t="s">
        <v>90</v>
      </c>
      <c r="B84" s="8" t="s">
        <v>166</v>
      </c>
      <c r="C84" s="5" t="s">
        <v>172</v>
      </c>
      <c r="D84" s="17" t="n">
        <v>0.002</v>
      </c>
      <c r="E84" s="9" t="n">
        <v>6.444</v>
      </c>
      <c r="F84" s="5" t="s">
        <v>94</v>
      </c>
      <c r="G84" s="4" t="s">
        <v>171</v>
      </c>
    </row>
    <row r="85" customFormat="false" ht="13.8" hidden="false" customHeight="false" outlineLevel="0" collapsed="false">
      <c r="A85" s="8" t="s">
        <v>90</v>
      </c>
      <c r="B85" s="8" t="s">
        <v>167</v>
      </c>
      <c r="C85" s="5" t="s">
        <v>172</v>
      </c>
      <c r="D85" s="17" t="n">
        <v>0.062</v>
      </c>
      <c r="E85" s="9" t="n">
        <v>199.764</v>
      </c>
      <c r="F85" s="5" t="s">
        <v>94</v>
      </c>
      <c r="G85" s="4" t="s">
        <v>171</v>
      </c>
    </row>
    <row r="86" customFormat="false" ht="13.8" hidden="false" customHeight="false" outlineLevel="0" collapsed="false">
      <c r="A86" s="8" t="s">
        <v>90</v>
      </c>
      <c r="B86" s="8" t="s">
        <v>168</v>
      </c>
      <c r="C86" s="5" t="s">
        <v>172</v>
      </c>
      <c r="D86" s="17" t="n">
        <v>0.032</v>
      </c>
      <c r="E86" s="9" t="n">
        <v>103.104</v>
      </c>
      <c r="F86" s="5" t="s">
        <v>94</v>
      </c>
      <c r="G86" s="4" t="s">
        <v>171</v>
      </c>
    </row>
    <row r="87" customFormat="false" ht="13.8" hidden="false" customHeight="false" outlineLevel="0" collapsed="false">
      <c r="A87" s="8" t="s">
        <v>90</v>
      </c>
      <c r="B87" s="8" t="s">
        <v>169</v>
      </c>
      <c r="C87" s="5" t="s">
        <v>172</v>
      </c>
      <c r="D87" s="17" t="n">
        <v>0.004</v>
      </c>
      <c r="E87" s="9" t="n">
        <v>12.888</v>
      </c>
      <c r="F87" s="5" t="s">
        <v>94</v>
      </c>
      <c r="G87" s="4" t="s">
        <v>171</v>
      </c>
    </row>
    <row r="88" customFormat="false" ht="13.8" hidden="false" customHeight="false" outlineLevel="0" collapsed="false">
      <c r="A88" s="8" t="s">
        <v>92</v>
      </c>
      <c r="B88" s="8" t="s">
        <v>173</v>
      </c>
      <c r="C88" s="4" t="s">
        <v>91</v>
      </c>
      <c r="D88" s="13" t="n">
        <v>0.045</v>
      </c>
      <c r="E88" s="10" t="n">
        <v>250</v>
      </c>
      <c r="F88" s="8" t="s">
        <v>38</v>
      </c>
      <c r="G88" s="18" t="s">
        <v>174</v>
      </c>
    </row>
    <row r="89" customFormat="false" ht="13.8" hidden="false" customHeight="false" outlineLevel="0" collapsed="false">
      <c r="A89" s="8" t="s">
        <v>92</v>
      </c>
      <c r="B89" s="8" t="s">
        <v>175</v>
      </c>
      <c r="C89" s="4" t="s">
        <v>91</v>
      </c>
      <c r="D89" s="13" t="n">
        <v>0</v>
      </c>
      <c r="E89" s="9" t="n">
        <v>0</v>
      </c>
      <c r="F89" s="8" t="s">
        <v>38</v>
      </c>
      <c r="G89" s="18" t="s">
        <v>174</v>
      </c>
    </row>
    <row r="90" customFormat="false" ht="13.8" hidden="false" customHeight="false" outlineLevel="0" collapsed="false">
      <c r="A90" s="8" t="s">
        <v>92</v>
      </c>
      <c r="B90" s="8" t="s">
        <v>176</v>
      </c>
      <c r="C90" s="4" t="s">
        <v>91</v>
      </c>
      <c r="D90" s="13" t="n">
        <v>0.615</v>
      </c>
      <c r="E90" s="10" t="n">
        <v>3423</v>
      </c>
      <c r="F90" s="8" t="s">
        <v>38</v>
      </c>
      <c r="G90" s="18" t="s">
        <v>177</v>
      </c>
    </row>
    <row r="91" customFormat="false" ht="13.8" hidden="false" customHeight="false" outlineLevel="0" collapsed="false">
      <c r="A91" s="8" t="s">
        <v>92</v>
      </c>
      <c r="B91" s="8" t="s">
        <v>178</v>
      </c>
      <c r="C91" s="4" t="s">
        <v>91</v>
      </c>
      <c r="D91" s="13" t="n">
        <v>0.041</v>
      </c>
      <c r="E91" s="10" t="n">
        <v>228</v>
      </c>
      <c r="F91" s="8" t="s">
        <v>38</v>
      </c>
      <c r="G91" s="18" t="s">
        <v>159</v>
      </c>
    </row>
    <row r="92" customFormat="false" ht="13.8" hidden="false" customHeight="false" outlineLevel="0" collapsed="false">
      <c r="A92" s="8" t="s">
        <v>92</v>
      </c>
      <c r="B92" s="8" t="s">
        <v>179</v>
      </c>
      <c r="C92" s="4" t="s">
        <v>91</v>
      </c>
      <c r="E92" s="10"/>
      <c r="F92" s="8" t="s">
        <v>38</v>
      </c>
      <c r="G92" s="18" t="s">
        <v>164</v>
      </c>
    </row>
    <row r="93" customFormat="false" ht="13.8" hidden="false" customHeight="false" outlineLevel="0" collapsed="false">
      <c r="A93" s="8" t="s">
        <v>92</v>
      </c>
      <c r="B93" s="8" t="s">
        <v>180</v>
      </c>
      <c r="C93" s="4" t="s">
        <v>91</v>
      </c>
      <c r="E93" s="10"/>
      <c r="F93" s="8" t="s">
        <v>38</v>
      </c>
      <c r="G93" s="18" t="s">
        <v>181</v>
      </c>
    </row>
    <row r="94" customFormat="false" ht="13.8" hidden="false" customHeight="false" outlineLevel="0" collapsed="false">
      <c r="A94" s="8" t="s">
        <v>92</v>
      </c>
      <c r="B94" s="8" t="s">
        <v>182</v>
      </c>
      <c r="C94" s="4" t="s">
        <v>91</v>
      </c>
      <c r="D94" s="13" t="n">
        <v>0.022</v>
      </c>
      <c r="E94" s="10" t="n">
        <v>122</v>
      </c>
      <c r="F94" s="8" t="s">
        <v>38</v>
      </c>
      <c r="G94" s="4" t="s">
        <v>171</v>
      </c>
    </row>
    <row r="95" customFormat="false" ht="13.8" hidden="false" customHeight="false" outlineLevel="0" collapsed="false">
      <c r="A95" s="4" t="s">
        <v>90</v>
      </c>
      <c r="B95" s="8" t="s">
        <v>173</v>
      </c>
      <c r="C95" s="4" t="s">
        <v>91</v>
      </c>
      <c r="D95" s="13" t="n">
        <v>0.03</v>
      </c>
      <c r="E95" s="10" t="n">
        <v>228</v>
      </c>
      <c r="F95" s="8" t="s">
        <v>38</v>
      </c>
      <c r="G95" s="4" t="s">
        <v>154</v>
      </c>
    </row>
    <row r="96" customFormat="false" ht="13.8" hidden="false" customHeight="false" outlineLevel="0" collapsed="false">
      <c r="A96" s="4" t="s">
        <v>90</v>
      </c>
      <c r="B96" s="8" t="s">
        <v>175</v>
      </c>
      <c r="C96" s="4" t="s">
        <v>91</v>
      </c>
      <c r="D96" s="13" t="n">
        <v>0.032</v>
      </c>
      <c r="E96" s="9" t="n">
        <v>0</v>
      </c>
      <c r="F96" s="8" t="s">
        <v>38</v>
      </c>
      <c r="G96" s="4" t="s">
        <v>154</v>
      </c>
    </row>
    <row r="97" customFormat="false" ht="13.8" hidden="false" customHeight="false" outlineLevel="0" collapsed="false">
      <c r="A97" s="4" t="s">
        <v>90</v>
      </c>
      <c r="B97" s="8" t="s">
        <v>178</v>
      </c>
      <c r="C97" s="4" t="s">
        <v>91</v>
      </c>
      <c r="D97" s="13" t="n">
        <v>0.115</v>
      </c>
      <c r="E97" s="10" t="n">
        <v>871</v>
      </c>
      <c r="F97" s="8" t="s">
        <v>38</v>
      </c>
      <c r="G97" s="4" t="s">
        <v>159</v>
      </c>
    </row>
    <row r="98" customFormat="false" ht="13.8" hidden="false" customHeight="false" outlineLevel="0" collapsed="false">
      <c r="A98" s="4" t="s">
        <v>90</v>
      </c>
      <c r="B98" s="8" t="s">
        <v>179</v>
      </c>
      <c r="C98" s="4" t="s">
        <v>91</v>
      </c>
      <c r="E98" s="10"/>
      <c r="F98" s="8" t="s">
        <v>38</v>
      </c>
      <c r="G98" s="4" t="s">
        <v>164</v>
      </c>
    </row>
    <row r="99" customFormat="false" ht="13.8" hidden="false" customHeight="false" outlineLevel="0" collapsed="false">
      <c r="A99" s="4" t="s">
        <v>90</v>
      </c>
      <c r="B99" s="8" t="s">
        <v>182</v>
      </c>
      <c r="C99" s="4" t="s">
        <v>91</v>
      </c>
      <c r="D99" s="13" t="n">
        <v>0.028</v>
      </c>
      <c r="E99" s="10" t="n">
        <v>216</v>
      </c>
      <c r="F99" s="8" t="s">
        <v>38</v>
      </c>
      <c r="G99" s="4" t="s">
        <v>171</v>
      </c>
    </row>
    <row r="100" customFormat="false" ht="13.8" hidden="false" customHeight="false" outlineLevel="0" collapsed="false">
      <c r="A100" s="8" t="s">
        <v>92</v>
      </c>
      <c r="B100" s="4" t="s">
        <v>183</v>
      </c>
      <c r="C100" s="4" t="s">
        <v>91</v>
      </c>
      <c r="D100" s="4" t="n">
        <v>0.57</v>
      </c>
      <c r="E100" s="9" t="n">
        <v>4477.85294117647</v>
      </c>
      <c r="F100" s="8" t="s">
        <v>45</v>
      </c>
      <c r="G100" s="4" t="s">
        <v>177</v>
      </c>
    </row>
    <row r="101" customFormat="false" ht="13.8" hidden="false" customHeight="false" outlineLevel="0" collapsed="false">
      <c r="A101" s="8" t="s">
        <v>92</v>
      </c>
      <c r="B101" s="4" t="s">
        <v>184</v>
      </c>
      <c r="C101" s="4" t="s">
        <v>91</v>
      </c>
      <c r="D101" s="4" t="n">
        <v>0.14</v>
      </c>
      <c r="E101" s="9" t="n">
        <v>1099.82352941176</v>
      </c>
      <c r="F101" s="8" t="s">
        <v>45</v>
      </c>
      <c r="G101" s="4" t="s">
        <v>181</v>
      </c>
    </row>
    <row r="102" customFormat="false" ht="13.8" hidden="false" customHeight="false" outlineLevel="0" collapsed="false">
      <c r="A102" s="8" t="s">
        <v>92</v>
      </c>
      <c r="B102" s="4" t="s">
        <v>185</v>
      </c>
      <c r="C102" s="4" t="s">
        <v>91</v>
      </c>
      <c r="D102" s="4" t="n">
        <v>0.08</v>
      </c>
      <c r="E102" s="9" t="n">
        <v>628.470588235294</v>
      </c>
      <c r="F102" s="8" t="s">
        <v>45</v>
      </c>
      <c r="G102" s="4" t="s">
        <v>164</v>
      </c>
    </row>
    <row r="103" customFormat="false" ht="13.8" hidden="false" customHeight="false" outlineLevel="0" collapsed="false">
      <c r="A103" s="8" t="s">
        <v>92</v>
      </c>
      <c r="B103" s="4" t="s">
        <v>186</v>
      </c>
      <c r="C103" s="4" t="s">
        <v>91</v>
      </c>
      <c r="D103" s="4" t="n">
        <v>0.07</v>
      </c>
      <c r="E103" s="9" t="n">
        <v>549.911764705882</v>
      </c>
      <c r="F103" s="8" t="s">
        <v>45</v>
      </c>
      <c r="G103" s="4" t="s">
        <v>154</v>
      </c>
    </row>
    <row r="104" customFormat="false" ht="13.8" hidden="false" customHeight="false" outlineLevel="0" collapsed="false">
      <c r="A104" s="8" t="s">
        <v>92</v>
      </c>
      <c r="B104" s="4" t="s">
        <v>187</v>
      </c>
      <c r="C104" s="4" t="s">
        <v>91</v>
      </c>
      <c r="D104" s="4" t="n">
        <v>0.13</v>
      </c>
      <c r="E104" s="9" t="n">
        <v>1021.26470588235</v>
      </c>
      <c r="F104" s="8" t="s">
        <v>45</v>
      </c>
      <c r="G104" s="4" t="s">
        <v>164</v>
      </c>
    </row>
    <row r="105" customFormat="false" ht="13.8" hidden="false" customHeight="false" outlineLevel="0" collapsed="false">
      <c r="A105" s="8" t="s">
        <v>92</v>
      </c>
      <c r="B105" s="4" t="s">
        <v>188</v>
      </c>
      <c r="C105" s="4" t="s">
        <v>91</v>
      </c>
      <c r="D105" s="4" t="n">
        <v>0.02</v>
      </c>
      <c r="E105" s="9" t="n">
        <v>157.117647058824</v>
      </c>
      <c r="F105" s="8" t="s">
        <v>45</v>
      </c>
      <c r="G105" s="4" t="s">
        <v>159</v>
      </c>
    </row>
    <row r="106" customFormat="false" ht="13.8" hidden="false" customHeight="false" outlineLevel="0" collapsed="false">
      <c r="A106" s="8" t="s">
        <v>92</v>
      </c>
      <c r="B106" s="4" t="s">
        <v>189</v>
      </c>
      <c r="C106" s="4" t="s">
        <v>91</v>
      </c>
      <c r="D106" s="4" t="n">
        <v>0.02</v>
      </c>
      <c r="E106" s="9" t="n">
        <v>157.117647058824</v>
      </c>
      <c r="F106" s="8" t="s">
        <v>45</v>
      </c>
    </row>
    <row r="107" customFormat="false" ht="13.8" hidden="false" customHeight="false" outlineLevel="0" collapsed="false">
      <c r="A107" s="8" t="s">
        <v>92</v>
      </c>
      <c r="B107" s="4" t="s">
        <v>176</v>
      </c>
      <c r="C107" s="8" t="s">
        <v>190</v>
      </c>
      <c r="D107" s="4" t="n">
        <v>0.432916666666667</v>
      </c>
      <c r="E107" s="9" t="n">
        <v>1961.32596685083</v>
      </c>
      <c r="F107" s="8" t="s">
        <v>191</v>
      </c>
      <c r="G107" s="18" t="s">
        <v>177</v>
      </c>
    </row>
    <row r="108" customFormat="false" ht="13.8" hidden="false" customHeight="false" outlineLevel="0" collapsed="false">
      <c r="A108" s="8" t="s">
        <v>92</v>
      </c>
      <c r="B108" s="4" t="s">
        <v>192</v>
      </c>
      <c r="C108" s="8" t="s">
        <v>190</v>
      </c>
      <c r="D108" s="4" t="n">
        <v>0.2125</v>
      </c>
      <c r="E108" s="9" t="n">
        <v>1464.08839779006</v>
      </c>
      <c r="F108" s="8" t="s">
        <v>191</v>
      </c>
      <c r="G108" s="18" t="s">
        <v>164</v>
      </c>
    </row>
    <row r="109" customFormat="false" ht="13.8" hidden="false" customHeight="false" outlineLevel="0" collapsed="false">
      <c r="A109" s="8" t="s">
        <v>92</v>
      </c>
      <c r="B109" s="4" t="s">
        <v>180</v>
      </c>
      <c r="C109" s="8" t="s">
        <v>190</v>
      </c>
      <c r="D109" s="4" t="n">
        <v>0.132083333333333</v>
      </c>
      <c r="E109" s="9" t="n">
        <v>580.110497237569</v>
      </c>
      <c r="F109" s="8" t="s">
        <v>191</v>
      </c>
      <c r="G109" s="18" t="s">
        <v>181</v>
      </c>
    </row>
    <row r="110" customFormat="false" ht="13.8" hidden="false" customHeight="false" outlineLevel="0" collapsed="false">
      <c r="A110" s="8" t="s">
        <v>92</v>
      </c>
      <c r="B110" s="4" t="s">
        <v>193</v>
      </c>
      <c r="C110" s="8" t="s">
        <v>190</v>
      </c>
      <c r="D110" s="4" t="n">
        <v>0.105833333333333</v>
      </c>
      <c r="E110" s="9" t="n">
        <v>386.740331491713</v>
      </c>
      <c r="F110" s="8" t="s">
        <v>191</v>
      </c>
      <c r="G110" s="4" t="s">
        <v>171</v>
      </c>
    </row>
    <row r="111" customFormat="false" ht="13.8" hidden="false" customHeight="false" outlineLevel="0" collapsed="false">
      <c r="A111" s="8" t="s">
        <v>92</v>
      </c>
      <c r="B111" s="4" t="s">
        <v>194</v>
      </c>
      <c r="C111" s="8" t="s">
        <v>190</v>
      </c>
      <c r="D111" s="4" t="n">
        <v>0.095</v>
      </c>
      <c r="E111" s="9" t="n">
        <v>580.110497237569</v>
      </c>
      <c r="F111" s="8" t="s">
        <v>191</v>
      </c>
      <c r="G111" s="18" t="s">
        <v>159</v>
      </c>
    </row>
    <row r="112" customFormat="false" ht="13.8" hidden="false" customHeight="false" outlineLevel="0" collapsed="false">
      <c r="A112" s="8" t="s">
        <v>92</v>
      </c>
      <c r="B112" s="4" t="s">
        <v>195</v>
      </c>
      <c r="C112" s="8" t="s">
        <v>190</v>
      </c>
      <c r="D112" s="4" t="n">
        <v>0.11375</v>
      </c>
      <c r="E112" s="9" t="n">
        <v>414.364640883978</v>
      </c>
      <c r="F112" s="8" t="s">
        <v>191</v>
      </c>
      <c r="G112" s="18" t="s">
        <v>174</v>
      </c>
    </row>
    <row r="113" customFormat="false" ht="13.8" hidden="false" customHeight="false" outlineLevel="0" collapsed="false">
      <c r="A113" s="0" t="s">
        <v>196</v>
      </c>
      <c r="B113" s="4" t="s">
        <v>176</v>
      </c>
      <c r="C113" s="8" t="s">
        <v>190</v>
      </c>
      <c r="E113" s="9" t="n">
        <v>2965.29968454259</v>
      </c>
      <c r="F113" s="8" t="s">
        <v>191</v>
      </c>
      <c r="G113" s="18" t="s">
        <v>177</v>
      </c>
    </row>
    <row r="114" customFormat="false" ht="13.8" hidden="false" customHeight="false" outlineLevel="0" collapsed="false">
      <c r="A114" s="0" t="s">
        <v>196</v>
      </c>
      <c r="B114" s="4" t="s">
        <v>192</v>
      </c>
      <c r="C114" s="8" t="s">
        <v>190</v>
      </c>
      <c r="E114" s="9" t="n">
        <v>1545.74132492114</v>
      </c>
      <c r="F114" s="8" t="s">
        <v>191</v>
      </c>
      <c r="G114" s="18" t="s">
        <v>164</v>
      </c>
    </row>
    <row r="115" customFormat="false" ht="13.8" hidden="false" customHeight="false" outlineLevel="0" collapsed="false">
      <c r="A115" s="0" t="s">
        <v>196</v>
      </c>
      <c r="B115" s="4" t="s">
        <v>180</v>
      </c>
      <c r="C115" s="8" t="s">
        <v>190</v>
      </c>
      <c r="E115" s="9" t="n">
        <v>599.369085173502</v>
      </c>
      <c r="F115" s="8" t="s">
        <v>191</v>
      </c>
      <c r="G115" s="18" t="s">
        <v>181</v>
      </c>
    </row>
    <row r="116" customFormat="false" ht="13.8" hidden="false" customHeight="false" outlineLevel="0" collapsed="false">
      <c r="A116" s="0" t="s">
        <v>196</v>
      </c>
      <c r="B116" s="4" t="s">
        <v>193</v>
      </c>
      <c r="C116" s="8" t="s">
        <v>190</v>
      </c>
      <c r="E116" s="9" t="n">
        <v>220.820189274448</v>
      </c>
      <c r="F116" s="8" t="s">
        <v>191</v>
      </c>
      <c r="G116" s="4" t="s">
        <v>171</v>
      </c>
    </row>
    <row r="117" customFormat="false" ht="13.8" hidden="false" customHeight="false" outlineLevel="0" collapsed="false">
      <c r="A117" s="0" t="s">
        <v>196</v>
      </c>
      <c r="B117" s="4" t="s">
        <v>194</v>
      </c>
      <c r="C117" s="8" t="s">
        <v>190</v>
      </c>
      <c r="E117" s="9" t="n">
        <v>536.277602523659</v>
      </c>
      <c r="F117" s="8" t="s">
        <v>191</v>
      </c>
      <c r="G117" s="18" t="s">
        <v>159</v>
      </c>
    </row>
    <row r="118" customFormat="false" ht="13.8" hidden="false" customHeight="false" outlineLevel="0" collapsed="false">
      <c r="A118" s="0" t="s">
        <v>196</v>
      </c>
      <c r="B118" s="4" t="s">
        <v>195</v>
      </c>
      <c r="C118" s="8" t="s">
        <v>190</v>
      </c>
      <c r="E118" s="9" t="n">
        <v>189.274447949527</v>
      </c>
      <c r="F118" s="8" t="s">
        <v>191</v>
      </c>
      <c r="G118" s="18" t="s">
        <v>174</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G112"/>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H1" activeCellId="0" sqref="H1"/>
    </sheetView>
  </sheetViews>
  <sheetFormatPr defaultColWidth="11.53515625" defaultRowHeight="13.8" zeroHeight="false" outlineLevelRow="0" outlineLevelCol="0"/>
  <cols>
    <col collapsed="false" customWidth="true" hidden="false" outlineLevel="0" max="1" min="1" style="8" width="31.64"/>
    <col collapsed="false" customWidth="true" hidden="false" outlineLevel="0" max="2" min="2" style="8" width="15.78"/>
    <col collapsed="false" customWidth="false" hidden="false" outlineLevel="0" max="7" min="3" style="8" width="11.53"/>
    <col collapsed="false" customWidth="true" hidden="false" outlineLevel="0" max="8" min="8" style="8" width="33.16"/>
    <col collapsed="false" customWidth="false" hidden="false" outlineLevel="0" max="10" min="9" style="8" width="11.53"/>
  </cols>
  <sheetData>
    <row r="1" customFormat="false" ht="13.8" hidden="false" customHeight="false" outlineLevel="0" collapsed="false">
      <c r="A1" s="8" t="s">
        <v>197</v>
      </c>
      <c r="B1" s="8" t="s">
        <v>198</v>
      </c>
      <c r="C1" s="8" t="s">
        <v>86</v>
      </c>
      <c r="D1" s="8" t="s">
        <v>89</v>
      </c>
      <c r="E1" s="8" t="s">
        <v>199</v>
      </c>
      <c r="F1" s="8" t="s">
        <v>200</v>
      </c>
      <c r="G1" s="8" t="s">
        <v>201</v>
      </c>
      <c r="H1" s="8" t="s">
        <v>202</v>
      </c>
    </row>
    <row r="2" customFormat="false" ht="13.8" hidden="false" customHeight="false" outlineLevel="0" collapsed="false">
      <c r="A2" s="8" t="s">
        <v>203</v>
      </c>
      <c r="B2" s="8" t="s">
        <v>204</v>
      </c>
      <c r="C2" s="8" t="s">
        <v>205</v>
      </c>
      <c r="D2" s="8" t="s">
        <v>95</v>
      </c>
      <c r="F2" s="8" t="n">
        <v>8</v>
      </c>
      <c r="G2" s="8" t="n">
        <v>24</v>
      </c>
      <c r="H2" s="6" t="s">
        <v>206</v>
      </c>
    </row>
    <row r="3" customFormat="false" ht="13.8" hidden="false" customHeight="false" outlineLevel="0" collapsed="false">
      <c r="A3" s="8" t="s">
        <v>207</v>
      </c>
      <c r="B3" s="8" t="s">
        <v>208</v>
      </c>
      <c r="C3" s="8" t="s">
        <v>205</v>
      </c>
      <c r="D3" s="8" t="s">
        <v>95</v>
      </c>
      <c r="F3" s="8" t="n">
        <v>0</v>
      </c>
      <c r="G3" s="8" t="n">
        <v>40</v>
      </c>
      <c r="H3" s="6" t="s">
        <v>206</v>
      </c>
    </row>
    <row r="4" customFormat="false" ht="13.8" hidden="false" customHeight="false" outlineLevel="0" collapsed="false">
      <c r="A4" s="8" t="s">
        <v>209</v>
      </c>
      <c r="B4" s="8" t="s">
        <v>210</v>
      </c>
      <c r="C4" s="8" t="s">
        <v>205</v>
      </c>
      <c r="D4" s="8" t="s">
        <v>91</v>
      </c>
      <c r="E4" s="8" t="n">
        <v>308</v>
      </c>
      <c r="H4" s="6" t="s">
        <v>38</v>
      </c>
    </row>
    <row r="5" customFormat="false" ht="13.8" hidden="false" customHeight="false" outlineLevel="0" collapsed="false">
      <c r="A5" s="8" t="s">
        <v>211</v>
      </c>
      <c r="B5" s="8" t="s">
        <v>212</v>
      </c>
      <c r="C5" s="8" t="s">
        <v>205</v>
      </c>
      <c r="D5" s="8" t="s">
        <v>91</v>
      </c>
      <c r="E5" s="8" t="n">
        <v>115.91</v>
      </c>
      <c r="H5" s="6" t="s">
        <v>213</v>
      </c>
    </row>
    <row r="6" customFormat="false" ht="13.8" hidden="false" customHeight="false" outlineLevel="0" collapsed="false">
      <c r="A6" s="8" t="s">
        <v>214</v>
      </c>
      <c r="B6" s="8" t="s">
        <v>215</v>
      </c>
      <c r="C6" s="8" t="s">
        <v>205</v>
      </c>
      <c r="D6" s="8" t="s">
        <v>91</v>
      </c>
      <c r="E6" s="8" t="n">
        <v>30</v>
      </c>
      <c r="F6" s="8" t="n">
        <v>27</v>
      </c>
      <c r="G6" s="8" t="n">
        <v>32</v>
      </c>
      <c r="H6" s="19" t="s">
        <v>45</v>
      </c>
    </row>
    <row r="7" customFormat="false" ht="13.8" hidden="false" customHeight="false" outlineLevel="0" collapsed="false">
      <c r="A7" s="8" t="s">
        <v>216</v>
      </c>
      <c r="B7" s="8" t="s">
        <v>208</v>
      </c>
      <c r="C7" s="8" t="s">
        <v>205</v>
      </c>
      <c r="D7" s="8" t="s">
        <v>91</v>
      </c>
      <c r="E7" s="8" t="n">
        <v>36</v>
      </c>
      <c r="F7" s="8" t="n">
        <v>32</v>
      </c>
      <c r="G7" s="8" t="n">
        <v>36</v>
      </c>
      <c r="H7" s="19" t="s">
        <v>45</v>
      </c>
    </row>
    <row r="8" customFormat="false" ht="13.8" hidden="false" customHeight="false" outlineLevel="0" collapsed="false">
      <c r="A8" s="8" t="s">
        <v>217</v>
      </c>
      <c r="B8" s="8" t="s">
        <v>208</v>
      </c>
      <c r="C8" s="8" t="s">
        <v>205</v>
      </c>
      <c r="D8" s="8" t="s">
        <v>190</v>
      </c>
      <c r="E8" s="13" t="n">
        <v>0.290055248618785</v>
      </c>
      <c r="H8" s="8" t="s">
        <v>55</v>
      </c>
    </row>
    <row r="9" customFormat="false" ht="13.8" hidden="false" customHeight="false" outlineLevel="0" collapsed="false">
      <c r="A9" s="8" t="s">
        <v>218</v>
      </c>
      <c r="B9" s="8" t="s">
        <v>208</v>
      </c>
      <c r="C9" s="8" t="s">
        <v>205</v>
      </c>
      <c r="D9" s="8" t="s">
        <v>190</v>
      </c>
      <c r="E9" s="13" t="n">
        <v>0.074585635359116</v>
      </c>
      <c r="H9" s="8" t="s">
        <v>55</v>
      </c>
    </row>
    <row r="10" customFormat="false" ht="13.8" hidden="false" customHeight="false" outlineLevel="0" collapsed="false">
      <c r="A10" s="8" t="s">
        <v>219</v>
      </c>
      <c r="B10" s="8" t="s">
        <v>208</v>
      </c>
      <c r="C10" s="8" t="s">
        <v>205</v>
      </c>
      <c r="D10" s="8" t="s">
        <v>190</v>
      </c>
      <c r="E10" s="13" t="n">
        <v>0.160220994475138</v>
      </c>
      <c r="H10" s="8" t="s">
        <v>55</v>
      </c>
    </row>
    <row r="11" customFormat="false" ht="13.8" hidden="false" customHeight="false" outlineLevel="0" collapsed="false">
      <c r="A11" s="8" t="s">
        <v>220</v>
      </c>
      <c r="B11" s="8" t="s">
        <v>208</v>
      </c>
      <c r="C11" s="8" t="s">
        <v>205</v>
      </c>
      <c r="D11" s="8" t="s">
        <v>190</v>
      </c>
      <c r="E11" s="13" t="n">
        <v>0.256906077348066</v>
      </c>
      <c r="H11" s="8" t="s">
        <v>55</v>
      </c>
    </row>
    <row r="12" customFormat="false" ht="13.8" hidden="false" customHeight="false" outlineLevel="0" collapsed="false">
      <c r="A12" s="8" t="s">
        <v>221</v>
      </c>
      <c r="B12" s="8" t="s">
        <v>208</v>
      </c>
      <c r="C12" s="8" t="s">
        <v>205</v>
      </c>
      <c r="D12" s="8" t="s">
        <v>190</v>
      </c>
      <c r="E12" s="13" t="n">
        <v>0.198895027624309</v>
      </c>
      <c r="H12" s="8" t="s">
        <v>55</v>
      </c>
    </row>
    <row r="13" customFormat="false" ht="13.8" hidden="false" customHeight="false" outlineLevel="0" collapsed="false">
      <c r="A13" s="8" t="s">
        <v>222</v>
      </c>
      <c r="B13" s="8" t="s">
        <v>208</v>
      </c>
      <c r="C13" s="8" t="s">
        <v>205</v>
      </c>
      <c r="D13" s="8" t="s">
        <v>190</v>
      </c>
      <c r="E13" s="13" t="n">
        <v>0.00552486187845304</v>
      </c>
      <c r="H13" s="8" t="s">
        <v>55</v>
      </c>
    </row>
    <row r="14" customFormat="false" ht="13.8" hidden="false" customHeight="false" outlineLevel="0" collapsed="false">
      <c r="A14" s="8" t="s">
        <v>223</v>
      </c>
      <c r="B14" s="8" t="s">
        <v>208</v>
      </c>
      <c r="C14" s="8" t="s">
        <v>205</v>
      </c>
      <c r="D14" s="8" t="s">
        <v>190</v>
      </c>
      <c r="E14" s="13" t="n">
        <v>0.0110497237569061</v>
      </c>
      <c r="H14" s="8" t="s">
        <v>55</v>
      </c>
    </row>
    <row r="15" customFormat="false" ht="13.8" hidden="false" customHeight="false" outlineLevel="0" collapsed="false">
      <c r="A15" s="8" t="s">
        <v>224</v>
      </c>
      <c r="B15" s="8" t="s">
        <v>208</v>
      </c>
      <c r="C15" s="8" t="s">
        <v>205</v>
      </c>
      <c r="D15" s="8" t="s">
        <v>190</v>
      </c>
      <c r="E15" s="13" t="n">
        <v>0.00276243093922652</v>
      </c>
      <c r="H15" s="8" t="s">
        <v>55</v>
      </c>
    </row>
    <row r="18" customFormat="false" ht="13.8" hidden="false" customHeight="false" outlineLevel="0" collapsed="false">
      <c r="E18" s="4"/>
    </row>
    <row r="19" customFormat="false" ht="13.8" hidden="false" customHeight="false" outlineLevel="0" collapsed="false">
      <c r="E19" s="4"/>
    </row>
    <row r="20" customFormat="false" ht="13.8" hidden="false" customHeight="false" outlineLevel="0" collapsed="false">
      <c r="E20" s="4"/>
    </row>
    <row r="21" customFormat="false" ht="13.8" hidden="false" customHeight="false" outlineLevel="0" collapsed="false">
      <c r="E21" s="4"/>
    </row>
    <row r="22" customFormat="false" ht="13.8" hidden="false" customHeight="false" outlineLevel="0" collapsed="false">
      <c r="E22" s="4"/>
    </row>
    <row r="23" customFormat="false" ht="13.8" hidden="false" customHeight="false" outlineLevel="0" collapsed="false">
      <c r="E23" s="4"/>
    </row>
    <row r="24" customFormat="false" ht="13.8" hidden="false" customHeight="false" outlineLevel="0" collapsed="false">
      <c r="E24" s="4"/>
    </row>
    <row r="25" customFormat="false" ht="13.8" hidden="false" customHeight="false" outlineLevel="0" collapsed="false">
      <c r="E25" s="4"/>
    </row>
    <row r="26" customFormat="false" ht="13.8" hidden="false" customHeight="false" outlineLevel="0" collapsed="false">
      <c r="E26" s="4"/>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33" activeCellId="0" sqref="D33"/>
    </sheetView>
  </sheetViews>
  <sheetFormatPr defaultColWidth="11.53515625" defaultRowHeight="12.8" zeroHeight="false" outlineLevelRow="0" outlineLevelCol="0"/>
  <sheetData>
    <row r="1" customFormat="false" ht="24" hidden="false" customHeight="false" outlineLevel="0" collapsed="false">
      <c r="A1" s="5" t="s">
        <v>225</v>
      </c>
      <c r="B1" s="5" t="s">
        <v>226</v>
      </c>
      <c r="C1" s="5" t="s">
        <v>227</v>
      </c>
      <c r="D1" s="5" t="s">
        <v>228</v>
      </c>
      <c r="E1" s="5" t="s">
        <v>229</v>
      </c>
      <c r="F1" s="5" t="s">
        <v>230</v>
      </c>
      <c r="G1" s="5" t="s">
        <v>231</v>
      </c>
      <c r="H1" s="5" t="s">
        <v>232</v>
      </c>
      <c r="I1" s="5" t="s">
        <v>233</v>
      </c>
      <c r="J1" s="5" t="s">
        <v>234</v>
      </c>
      <c r="K1" s="5" t="s">
        <v>235</v>
      </c>
    </row>
    <row r="2" customFormat="false" ht="12.8" hidden="false" customHeight="false" outlineLevel="0" collapsed="false">
      <c r="A2" s="8" t="s">
        <v>236</v>
      </c>
      <c r="B2" s="8" t="n">
        <v>50</v>
      </c>
      <c r="C2" s="8" t="n">
        <v>200</v>
      </c>
      <c r="D2" s="8" t="n">
        <v>550</v>
      </c>
      <c r="E2" s="8" t="n">
        <v>-50</v>
      </c>
      <c r="F2" s="8" t="n">
        <v>-100</v>
      </c>
      <c r="G2" s="8" t="n">
        <v>800</v>
      </c>
      <c r="H2" s="8" t="n">
        <v>650</v>
      </c>
      <c r="I2" s="8" t="n">
        <v>0.17</v>
      </c>
      <c r="J2" s="8" t="n">
        <v>0.01</v>
      </c>
      <c r="K2" s="8" t="n">
        <v>0.18</v>
      </c>
    </row>
    <row r="3" customFormat="false" ht="12.8" hidden="false" customHeight="false" outlineLevel="0" collapsed="false">
      <c r="A3" s="8" t="s">
        <v>237</v>
      </c>
      <c r="B3" s="8" t="n">
        <v>50</v>
      </c>
      <c r="C3" s="8" t="n">
        <v>220</v>
      </c>
      <c r="D3" s="8" t="n">
        <v>480</v>
      </c>
      <c r="E3" s="8" t="n">
        <v>-50</v>
      </c>
      <c r="F3" s="8" t="n">
        <v>-70</v>
      </c>
      <c r="G3" s="8" t="n">
        <v>750</v>
      </c>
      <c r="H3" s="8" t="n">
        <v>630</v>
      </c>
      <c r="I3" s="8" t="n">
        <v>0.21</v>
      </c>
      <c r="J3" s="8" t="n">
        <v>0.01</v>
      </c>
      <c r="K3" s="8" t="n">
        <v>0.22</v>
      </c>
    </row>
    <row r="4" customFormat="false" ht="12.8" hidden="false" customHeight="false" outlineLevel="0" collapsed="false">
      <c r="A4" s="8" t="s">
        <v>238</v>
      </c>
      <c r="B4" s="8" t="n">
        <v>60</v>
      </c>
      <c r="C4" s="8" t="n">
        <v>190</v>
      </c>
      <c r="D4" s="8" t="n">
        <v>350</v>
      </c>
      <c r="E4" s="8" t="n">
        <v>-40</v>
      </c>
      <c r="F4" s="8" t="n">
        <v>-40</v>
      </c>
      <c r="G4" s="8" t="n">
        <v>600</v>
      </c>
      <c r="H4" s="8" t="n">
        <v>520</v>
      </c>
      <c r="I4" s="8" t="n">
        <v>0.28</v>
      </c>
      <c r="J4" s="8" t="n">
        <v>0.01</v>
      </c>
      <c r="K4" s="8" t="n">
        <v>0.29</v>
      </c>
    </row>
    <row r="5" customFormat="false" ht="12.8" hidden="false" customHeight="false" outlineLevel="0" collapsed="false">
      <c r="A5" s="8" t="s">
        <v>239</v>
      </c>
      <c r="B5" s="8" t="n">
        <v>70</v>
      </c>
      <c r="C5" s="8" t="n">
        <v>170</v>
      </c>
      <c r="D5" s="8" t="n">
        <v>360</v>
      </c>
      <c r="E5" s="8" t="n">
        <v>-60</v>
      </c>
      <c r="F5" s="8" t="n">
        <v>-50</v>
      </c>
      <c r="G5" s="8" t="n">
        <v>600</v>
      </c>
      <c r="H5" s="8" t="n">
        <v>490</v>
      </c>
      <c r="I5" s="8" t="n">
        <v>0.6</v>
      </c>
      <c r="J5" s="8" t="n">
        <v>0.08</v>
      </c>
      <c r="K5" s="8" t="n">
        <v>0.68</v>
      </c>
    </row>
    <row r="6" customFormat="false" ht="12.8" hidden="false" customHeight="false" outlineLevel="0" collapsed="false">
      <c r="A6" s="8" t="s">
        <v>240</v>
      </c>
      <c r="B6" s="8" t="n">
        <v>80</v>
      </c>
      <c r="C6" s="8" t="n">
        <v>750</v>
      </c>
      <c r="D6" s="8" t="n">
        <v>370</v>
      </c>
      <c r="E6" s="8" t="n">
        <v>-730</v>
      </c>
      <c r="F6" s="8" t="n">
        <v>-20</v>
      </c>
      <c r="G6" s="8" t="n">
        <v>1200</v>
      </c>
      <c r="H6" s="8" t="n">
        <v>450</v>
      </c>
      <c r="I6" s="8" t="n">
        <v>1.58</v>
      </c>
      <c r="J6" s="8" t="n">
        <v>0.32</v>
      </c>
      <c r="K6" s="8" t="n">
        <v>1.9</v>
      </c>
    </row>
    <row r="7" customFormat="false" ht="12.8" hidden="false" customHeight="false" outlineLevel="0" collapsed="false">
      <c r="A7" s="8" t="s">
        <v>241</v>
      </c>
      <c r="B7" s="8" t="n">
        <v>110</v>
      </c>
      <c r="C7" s="8" t="n">
        <v>350</v>
      </c>
      <c r="D7" s="8" t="n">
        <v>320</v>
      </c>
      <c r="E7" s="8" t="n">
        <v>-300</v>
      </c>
      <c r="F7" s="8" t="n">
        <v>-50</v>
      </c>
      <c r="G7" s="8" t="n">
        <v>780</v>
      </c>
      <c r="H7" s="8" t="n">
        <v>430</v>
      </c>
      <c r="I7" s="8" t="n">
        <v>0.4</v>
      </c>
      <c r="J7" s="8" t="n">
        <v>0.08</v>
      </c>
      <c r="K7" s="8" t="n">
        <v>0.48</v>
      </c>
    </row>
    <row r="8" customFormat="false" ht="12.8" hidden="false" customHeight="false" outlineLevel="0" collapsed="false">
      <c r="A8" s="8" t="s">
        <v>242</v>
      </c>
      <c r="B8" s="8" t="n">
        <v>150</v>
      </c>
      <c r="C8" s="8" t="n">
        <v>1200</v>
      </c>
      <c r="D8" s="8" t="n">
        <v>150</v>
      </c>
      <c r="E8" s="8" t="n">
        <v>-1100</v>
      </c>
      <c r="F8" s="8" t="n">
        <v>-20</v>
      </c>
      <c r="G8" s="8" t="n">
        <v>1500</v>
      </c>
      <c r="H8" s="8" t="n">
        <v>380</v>
      </c>
      <c r="I8" s="8" t="n">
        <v>0.09</v>
      </c>
      <c r="J8" s="8" t="n">
        <v>0.01</v>
      </c>
      <c r="K8" s="8" t="n">
        <v>0.1</v>
      </c>
    </row>
    <row r="9" customFormat="false" ht="12.8" hidden="false" customHeight="false" outlineLevel="0" collapsed="false">
      <c r="A9" s="8" t="s">
        <v>243</v>
      </c>
      <c r="B9" s="8" t="n">
        <v>150</v>
      </c>
      <c r="C9" s="8" t="n">
        <v>250</v>
      </c>
      <c r="D9" s="8" t="n">
        <v>280</v>
      </c>
      <c r="E9" s="8" t="n">
        <v>-300</v>
      </c>
      <c r="F9" s="8" t="n">
        <v>-50</v>
      </c>
      <c r="G9" s="8" t="n">
        <v>680</v>
      </c>
      <c r="H9" s="8" t="n">
        <v>330</v>
      </c>
      <c r="I9" s="8" t="n">
        <v>0.19</v>
      </c>
      <c r="J9" s="8" t="n">
        <v>0.01</v>
      </c>
      <c r="K9" s="8" t="n">
        <v>0.2</v>
      </c>
    </row>
    <row r="10" customFormat="false" ht="12.8" hidden="false" customHeight="false" outlineLevel="0" collapsed="false">
      <c r="A10" s="8" t="s">
        <v>244</v>
      </c>
      <c r="B10" s="8" t="n">
        <v>50</v>
      </c>
      <c r="C10" s="8" t="n">
        <v>250</v>
      </c>
      <c r="D10" s="8" t="n">
        <v>100</v>
      </c>
      <c r="E10" s="8" t="n">
        <v>-50</v>
      </c>
      <c r="F10" s="8" t="n">
        <v>-30</v>
      </c>
      <c r="G10" s="8" t="n">
        <v>400</v>
      </c>
      <c r="H10" s="8" t="n">
        <v>320</v>
      </c>
      <c r="I10" s="8" t="n">
        <v>0.06</v>
      </c>
      <c r="J10" s="8" t="n">
        <v>0</v>
      </c>
      <c r="K10" s="8" t="n">
        <v>0.06</v>
      </c>
    </row>
    <row r="11" customFormat="false" ht="12.8" hidden="false" customHeight="false" outlineLevel="0" collapsed="false">
      <c r="A11" s="8" t="s">
        <v>245</v>
      </c>
      <c r="B11" s="8" t="n">
        <v>50</v>
      </c>
      <c r="C11" s="8" t="n">
        <v>200</v>
      </c>
      <c r="D11" s="8" t="n">
        <v>80</v>
      </c>
      <c r="E11" s="8" t="n">
        <v>-50</v>
      </c>
      <c r="F11" s="8" t="n">
        <v>-20</v>
      </c>
      <c r="G11" s="8" t="n">
        <v>330</v>
      </c>
      <c r="H11" s="8" t="n">
        <v>260</v>
      </c>
      <c r="I11" s="8" t="n">
        <v>0.06</v>
      </c>
      <c r="J11" s="8" t="n">
        <v>0</v>
      </c>
      <c r="K11" s="8" t="n">
        <v>0.06</v>
      </c>
    </row>
    <row r="12" customFormat="false" ht="12.8" hidden="false" customHeight="false" outlineLevel="0" collapsed="false">
      <c r="A12" s="8" t="s">
        <v>246</v>
      </c>
      <c r="B12" s="8" t="n">
        <v>50</v>
      </c>
      <c r="C12" s="8" t="n">
        <v>150</v>
      </c>
      <c r="D12" s="8" t="n">
        <v>600</v>
      </c>
      <c r="E12" s="8" t="n">
        <v>-580</v>
      </c>
      <c r="F12" s="8" t="n">
        <v>-20</v>
      </c>
      <c r="G12" s="8" t="n">
        <v>800</v>
      </c>
      <c r="H12" s="8" t="n">
        <v>200</v>
      </c>
      <c r="I12" s="8" t="n">
        <v>0.09</v>
      </c>
      <c r="J12" s="8" t="n">
        <v>0</v>
      </c>
      <c r="K12" s="8" t="n">
        <v>0.09</v>
      </c>
    </row>
    <row r="13" customFormat="false" ht="12.8" hidden="false" customHeight="false" outlineLevel="0" collapsed="false">
      <c r="A13" s="8" t="s">
        <v>247</v>
      </c>
      <c r="B13" s="8" t="n">
        <v>60</v>
      </c>
      <c r="C13" s="8" t="n">
        <v>200</v>
      </c>
      <c r="D13" s="8" t="n">
        <v>260</v>
      </c>
      <c r="E13" s="8" t="n">
        <v>-300</v>
      </c>
      <c r="F13" s="8" t="n">
        <v>-30</v>
      </c>
      <c r="G13" s="8" t="n">
        <v>520</v>
      </c>
      <c r="H13" s="8" t="n">
        <v>190</v>
      </c>
      <c r="I13" s="8" t="n">
        <v>0.15</v>
      </c>
      <c r="J13" s="8" t="n">
        <v>0.02</v>
      </c>
      <c r="K13" s="8" t="n">
        <v>0.17</v>
      </c>
    </row>
    <row r="14" customFormat="false" ht="12.8" hidden="false" customHeight="false" outlineLevel="0" collapsed="false">
      <c r="A14" s="8" t="s">
        <v>248</v>
      </c>
      <c r="B14" s="8" t="n">
        <v>40</v>
      </c>
      <c r="C14" s="8" t="n">
        <v>180</v>
      </c>
      <c r="D14" s="8" t="n">
        <v>350</v>
      </c>
      <c r="E14" s="8" t="n">
        <v>-380</v>
      </c>
      <c r="F14" s="8" t="n">
        <v>-20</v>
      </c>
      <c r="G14" s="8" t="n">
        <v>570</v>
      </c>
      <c r="H14" s="8" t="n">
        <v>170</v>
      </c>
      <c r="I14" s="8" t="n">
        <v>0.2</v>
      </c>
      <c r="J14" s="8" t="n">
        <v>0.01</v>
      </c>
      <c r="K14" s="8" t="n">
        <v>0.21</v>
      </c>
    </row>
    <row r="15" customFormat="false" ht="12.8" hidden="false" customHeight="false" outlineLevel="0" collapsed="false">
      <c r="A15" s="8" t="s">
        <v>249</v>
      </c>
      <c r="B15" s="8" t="n">
        <v>50</v>
      </c>
      <c r="C15" s="8" t="n">
        <v>200</v>
      </c>
      <c r="D15" s="8" t="n">
        <v>200</v>
      </c>
      <c r="E15" s="8" t="n">
        <v>-250</v>
      </c>
      <c r="F15" s="8" t="n">
        <v>-20</v>
      </c>
      <c r="G15" s="8" t="n">
        <v>450</v>
      </c>
      <c r="H15" s="8" t="n">
        <v>180</v>
      </c>
      <c r="I15" s="8" t="n">
        <v>0.2</v>
      </c>
      <c r="J15" s="8" t="n">
        <v>0.02</v>
      </c>
      <c r="K15" s="8" t="n">
        <v>0.22</v>
      </c>
    </row>
    <row r="16" customFormat="false" ht="12.8" hidden="false" customHeight="false" outlineLevel="0" collapsed="false">
      <c r="A16" s="8" t="s">
        <v>250</v>
      </c>
      <c r="B16" s="8" t="n">
        <v>120</v>
      </c>
      <c r="C16" s="8" t="n">
        <v>150</v>
      </c>
      <c r="D16" s="8" t="n">
        <v>250</v>
      </c>
      <c r="E16" s="8" t="n">
        <v>-300</v>
      </c>
      <c r="F16" s="8" t="n">
        <v>-50</v>
      </c>
      <c r="G16" s="8" t="n">
        <v>520</v>
      </c>
      <c r="H16" s="8" t="n">
        <v>170</v>
      </c>
      <c r="I16" s="8" t="n">
        <v>0.6</v>
      </c>
      <c r="J16" s="8" t="n">
        <v>0.03</v>
      </c>
      <c r="K16" s="8" t="n">
        <v>0.63</v>
      </c>
    </row>
    <row r="17" customFormat="false" ht="12.8" hidden="false" customHeight="false" outlineLevel="0" collapsed="false">
      <c r="A17" s="8" t="s">
        <v>251</v>
      </c>
      <c r="B17" s="8" t="n">
        <v>100</v>
      </c>
      <c r="C17" s="8" t="n">
        <v>150</v>
      </c>
      <c r="D17" s="8" t="n">
        <v>270</v>
      </c>
      <c r="E17" s="8" t="n">
        <v>-300</v>
      </c>
      <c r="F17" s="8" t="n">
        <v>-50</v>
      </c>
      <c r="G17" s="8" t="n">
        <v>520</v>
      </c>
      <c r="H17" s="8" t="n">
        <v>170</v>
      </c>
      <c r="I17" s="8" t="n">
        <v>0.39</v>
      </c>
      <c r="J17" s="8" t="n">
        <v>0.01</v>
      </c>
      <c r="K17" s="8" t="n">
        <v>0.4</v>
      </c>
    </row>
    <row r="18" customFormat="false" ht="12.8" hidden="false" customHeight="false" outlineLevel="0" collapsed="false">
      <c r="A18" s="8" t="s">
        <v>252</v>
      </c>
      <c r="B18" s="8" t="n">
        <v>50</v>
      </c>
      <c r="C18" s="8" t="n">
        <v>120</v>
      </c>
      <c r="D18" s="8" t="n">
        <v>240</v>
      </c>
      <c r="E18" s="8" t="n">
        <v>-150</v>
      </c>
      <c r="F18" s="8" t="n">
        <v>-100</v>
      </c>
      <c r="G18" s="8" t="n">
        <v>410</v>
      </c>
      <c r="H18" s="8" t="n">
        <v>160</v>
      </c>
      <c r="I18" s="8" t="n">
        <v>0.39</v>
      </c>
      <c r="J18" s="8" t="n">
        <v>0.01</v>
      </c>
      <c r="K18" s="8" t="n">
        <v>0.4</v>
      </c>
    </row>
    <row r="19" customFormat="false" ht="12.8" hidden="false" customHeight="false" outlineLevel="0" collapsed="false">
      <c r="A19" s="8" t="s">
        <v>253</v>
      </c>
      <c r="B19" s="8" t="n">
        <v>150</v>
      </c>
      <c r="C19" s="8" t="n">
        <v>150</v>
      </c>
      <c r="D19" s="8" t="n">
        <v>200</v>
      </c>
      <c r="E19" s="8" t="n">
        <v>-320</v>
      </c>
      <c r="F19" s="8" t="n">
        <v>-50</v>
      </c>
      <c r="G19" s="8" t="n">
        <v>500</v>
      </c>
      <c r="H19" s="8" t="n">
        <v>130</v>
      </c>
      <c r="I19" s="8" t="n">
        <v>0.32</v>
      </c>
      <c r="J19" s="8" t="n">
        <v>0.01</v>
      </c>
      <c r="K19" s="8" t="n">
        <v>0.33</v>
      </c>
    </row>
    <row r="20" customFormat="false" ht="12.8" hidden="false" customHeight="false" outlineLevel="0" collapsed="false">
      <c r="A20" s="8" t="s">
        <v>254</v>
      </c>
      <c r="B20" s="8" t="n">
        <v>60</v>
      </c>
      <c r="C20" s="8" t="n">
        <v>160</v>
      </c>
      <c r="D20" s="8" t="n">
        <v>280</v>
      </c>
      <c r="E20" s="8" t="n">
        <v>-330</v>
      </c>
      <c r="F20" s="8" t="n">
        <v>-50</v>
      </c>
      <c r="G20" s="8" t="n">
        <v>500</v>
      </c>
      <c r="H20" s="8" t="n">
        <v>120</v>
      </c>
      <c r="I20" s="8" t="n">
        <v>0.23</v>
      </c>
      <c r="J20" s="8" t="n">
        <v>0.01</v>
      </c>
      <c r="K20" s="8" t="n">
        <v>0.24</v>
      </c>
    </row>
    <row r="21" customFormat="false" ht="12.8" hidden="false" customHeight="false" outlineLevel="0" collapsed="false">
      <c r="A21" s="8" t="s">
        <v>255</v>
      </c>
      <c r="B21" s="8" t="n">
        <v>110</v>
      </c>
      <c r="C21" s="8" t="n">
        <v>150</v>
      </c>
      <c r="D21" s="8" t="n">
        <v>210</v>
      </c>
      <c r="E21" s="8" t="n">
        <v>-300</v>
      </c>
      <c r="F21" s="8" t="n">
        <v>-50</v>
      </c>
      <c r="G21" s="8" t="n">
        <v>470</v>
      </c>
      <c r="H21" s="8" t="n">
        <v>120</v>
      </c>
      <c r="I21" s="8" t="n">
        <v>0.39</v>
      </c>
      <c r="J21" s="8" t="n">
        <v>0.01</v>
      </c>
      <c r="K21" s="8" t="n">
        <v>0.4</v>
      </c>
    </row>
    <row r="22" customFormat="false" ht="12.8" hidden="false" customHeight="false" outlineLevel="0" collapsed="false">
      <c r="A22" s="8" t="s">
        <v>256</v>
      </c>
      <c r="B22" s="8" t="n">
        <v>80</v>
      </c>
      <c r="C22" s="8" t="n">
        <v>180</v>
      </c>
      <c r="D22" s="8" t="n">
        <v>190</v>
      </c>
      <c r="E22" s="8" t="n">
        <v>-300</v>
      </c>
      <c r="F22" s="8" t="n">
        <v>-50</v>
      </c>
      <c r="G22" s="8" t="n">
        <v>450</v>
      </c>
      <c r="H22" s="8" t="n">
        <v>100</v>
      </c>
      <c r="I22" s="8" t="n">
        <v>0.41</v>
      </c>
      <c r="J22" s="8" t="n">
        <v>0.01</v>
      </c>
      <c r="K22" s="8" t="n">
        <v>0.42</v>
      </c>
    </row>
    <row r="23" customFormat="false" ht="12.8" hidden="false" customHeight="false" outlineLevel="0" collapsed="false">
      <c r="A23" s="8" t="s">
        <v>257</v>
      </c>
      <c r="B23" s="8" t="n">
        <v>100</v>
      </c>
      <c r="C23" s="8" t="n">
        <v>150</v>
      </c>
      <c r="D23" s="8" t="n">
        <v>200</v>
      </c>
      <c r="E23" s="8" t="n">
        <v>-320</v>
      </c>
      <c r="F23" s="8" t="n">
        <v>-50</v>
      </c>
      <c r="G23" s="8" t="n">
        <v>450</v>
      </c>
      <c r="H23" s="8" t="n">
        <v>80</v>
      </c>
      <c r="I23" s="8" t="n">
        <v>0.72</v>
      </c>
      <c r="J23" s="8" t="n">
        <v>0.02</v>
      </c>
      <c r="K23" s="8" t="n">
        <v>0.74</v>
      </c>
    </row>
    <row r="24" customFormat="false" ht="12.8" hidden="false" customHeight="false" outlineLevel="0" collapsed="false">
      <c r="A24" s="8" t="s">
        <v>258</v>
      </c>
      <c r="B24" s="8" t="n">
        <v>150</v>
      </c>
      <c r="C24" s="8" t="n">
        <v>120</v>
      </c>
      <c r="D24" s="8" t="n">
        <v>160</v>
      </c>
      <c r="E24" s="8" t="n">
        <v>-320</v>
      </c>
      <c r="F24" s="8" t="n">
        <v>-40</v>
      </c>
      <c r="G24" s="8" t="n">
        <v>430</v>
      </c>
      <c r="H24" s="8" t="n">
        <v>70</v>
      </c>
      <c r="I24" s="8" t="n">
        <v>1.1</v>
      </c>
      <c r="J24" s="8" t="n">
        <v>0.01</v>
      </c>
      <c r="K24" s="8" t="n">
        <v>1.11</v>
      </c>
    </row>
    <row r="25" customFormat="false" ht="12.8" hidden="false" customHeight="false" outlineLevel="0" collapsed="false">
      <c r="A25" s="8" t="s">
        <v>259</v>
      </c>
      <c r="B25" s="8" t="n">
        <v>50</v>
      </c>
      <c r="C25" s="8" t="n">
        <v>100</v>
      </c>
      <c r="D25" s="8" t="n">
        <v>210</v>
      </c>
      <c r="E25" s="8" t="n">
        <v>-320</v>
      </c>
      <c r="F25" s="8" t="n">
        <v>-40</v>
      </c>
      <c r="G25" s="8" t="n">
        <v>360</v>
      </c>
      <c r="H25" s="8" t="n">
        <v>0</v>
      </c>
      <c r="I25" s="8" t="n">
        <v>0.07</v>
      </c>
      <c r="J25" s="8" t="n">
        <v>0</v>
      </c>
      <c r="K25" s="8" t="n">
        <v>0.07</v>
      </c>
    </row>
    <row r="26" customFormat="false" ht="12.8" hidden="false" customHeight="false" outlineLevel="0" collapsed="false">
      <c r="A26" s="8" t="s">
        <v>260</v>
      </c>
      <c r="B26" s="8" t="n">
        <v>30</v>
      </c>
      <c r="C26" s="8" t="n">
        <v>120</v>
      </c>
      <c r="D26" s="8" t="n">
        <v>150</v>
      </c>
      <c r="E26" s="8" t="n">
        <v>-300</v>
      </c>
      <c r="F26" s="8" t="n">
        <v>-40</v>
      </c>
      <c r="G26" s="8" t="n">
        <v>300</v>
      </c>
      <c r="H26" s="8" t="n">
        <v>-40</v>
      </c>
      <c r="I26" s="8" t="n">
        <v>0.03</v>
      </c>
      <c r="J26" s="8" t="n">
        <v>0</v>
      </c>
      <c r="K26" s="8" t="n">
        <v>0.03</v>
      </c>
    </row>
    <row r="27" customFormat="false" ht="12.8" hidden="false" customHeight="false" outlineLevel="0" collapsed="false">
      <c r="A27" s="8" t="s">
        <v>261</v>
      </c>
      <c r="B27" s="8" t="n">
        <v>30</v>
      </c>
      <c r="C27" s="8" t="n">
        <v>100</v>
      </c>
      <c r="D27" s="8" t="n">
        <v>100</v>
      </c>
      <c r="E27" s="8" t="n">
        <v>-200</v>
      </c>
      <c r="F27" s="8" t="n">
        <v>-700</v>
      </c>
      <c r="G27" s="8" t="n">
        <v>230</v>
      </c>
      <c r="H27" s="8" t="n">
        <v>-670</v>
      </c>
      <c r="I27" s="8" t="n">
        <v>0.08</v>
      </c>
      <c r="J27" s="8" t="n">
        <v>-0.18</v>
      </c>
      <c r="K27" s="8" t="n">
        <v>-0.1</v>
      </c>
    </row>
    <row r="29" customFormat="false" ht="12.8" hidden="false" customHeight="false" outlineLevel="0" collapsed="false">
      <c r="A29" s="4"/>
      <c r="B29" s="4"/>
      <c r="C29" s="4"/>
      <c r="D29" s="4"/>
      <c r="E29" s="4"/>
      <c r="F29" s="4"/>
      <c r="G29" s="4"/>
      <c r="H29" s="4"/>
      <c r="I29" s="4"/>
      <c r="J29" s="4"/>
      <c r="K29" s="4"/>
    </row>
    <row r="31" customFormat="false" ht="12.8" hidden="false" customHeight="false" outlineLevel="0" collapsed="false">
      <c r="A31" s="8"/>
      <c r="B31" s="8"/>
      <c r="C31" s="8"/>
      <c r="D31" s="8"/>
      <c r="E31" s="8"/>
      <c r="F31" s="8"/>
      <c r="G31" s="8"/>
      <c r="H31" s="8"/>
      <c r="I31" s="8"/>
      <c r="J31" s="8"/>
      <c r="K31" s="8"/>
    </row>
    <row r="32" customFormat="false" ht="12.8" hidden="false" customHeight="false" outlineLevel="0" collapsed="false">
      <c r="A32" s="8"/>
      <c r="B32" s="8"/>
      <c r="C32" s="8"/>
      <c r="D32" s="8"/>
      <c r="E32" s="5"/>
      <c r="F32" s="5"/>
      <c r="G32" s="5"/>
      <c r="H32" s="5"/>
      <c r="I32" s="5"/>
      <c r="J32" s="5"/>
      <c r="K32" s="5"/>
    </row>
    <row r="33" customFormat="false" ht="12.8" hidden="false" customHeight="false" outlineLevel="0" collapsed="false">
      <c r="E33" s="8"/>
      <c r="F33" s="8"/>
      <c r="G33" s="8"/>
      <c r="H33" s="8"/>
      <c r="I33" s="8"/>
      <c r="J33" s="8"/>
      <c r="K33" s="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9" activeCellId="0" sqref="A9"/>
    </sheetView>
  </sheetViews>
  <sheetFormatPr defaultColWidth="11.53515625" defaultRowHeight="12.8" zeroHeight="false" outlineLevelRow="0" outlineLevelCol="0"/>
  <sheetData>
    <row r="1" customFormat="false" ht="101.1" hidden="false" customHeight="false" outlineLevel="0" collapsed="false">
      <c r="A1" s="20"/>
      <c r="B1" s="20"/>
      <c r="C1" s="20"/>
      <c r="E1" s="21" t="s">
        <v>262</v>
      </c>
      <c r="F1" s="21" t="s">
        <v>263</v>
      </c>
      <c r="G1" s="21" t="s">
        <v>264</v>
      </c>
      <c r="H1" s="21" t="s">
        <v>265</v>
      </c>
      <c r="I1" s="21" t="s">
        <v>266</v>
      </c>
      <c r="J1" s="21" t="s">
        <v>267</v>
      </c>
      <c r="K1" s="21" t="s">
        <v>268</v>
      </c>
      <c r="L1" s="21" t="s">
        <v>269</v>
      </c>
      <c r="M1" s="21" t="s">
        <v>270</v>
      </c>
      <c r="N1" s="21" t="s">
        <v>271</v>
      </c>
      <c r="O1" s="21" t="s">
        <v>272</v>
      </c>
      <c r="P1" s="21" t="s">
        <v>273</v>
      </c>
      <c r="Q1" s="21" t="s">
        <v>274</v>
      </c>
      <c r="R1" s="21" t="s">
        <v>275</v>
      </c>
      <c r="S1" s="21" t="s">
        <v>276</v>
      </c>
      <c r="T1" s="21" t="s">
        <v>277</v>
      </c>
      <c r="U1" s="21" t="s">
        <v>278</v>
      </c>
      <c r="V1" s="22" t="s">
        <v>148</v>
      </c>
      <c r="W1" s="22" t="s">
        <v>151</v>
      </c>
      <c r="X1" s="22" t="s">
        <v>149</v>
      </c>
    </row>
    <row r="2" customFormat="false" ht="35.55" hidden="false" customHeight="false" outlineLevel="0" collapsed="false">
      <c r="A2" s="23" t="s">
        <v>279</v>
      </c>
      <c r="B2" s="24" t="s">
        <v>280</v>
      </c>
      <c r="C2" s="21" t="s">
        <v>281</v>
      </c>
      <c r="D2" s="21" t="s">
        <v>282</v>
      </c>
      <c r="E2" s="25" t="s">
        <v>283</v>
      </c>
      <c r="F2" s="25" t="s">
        <v>284</v>
      </c>
      <c r="G2" s="25" t="s">
        <v>285</v>
      </c>
      <c r="H2" s="25" t="s">
        <v>286</v>
      </c>
      <c r="I2" s="25" t="s">
        <v>287</v>
      </c>
      <c r="J2" s="25" t="s">
        <v>288</v>
      </c>
      <c r="K2" s="25" t="s">
        <v>289</v>
      </c>
      <c r="L2" s="25" t="s">
        <v>289</v>
      </c>
      <c r="M2" s="25" t="s">
        <v>290</v>
      </c>
      <c r="N2" s="25" t="s">
        <v>291</v>
      </c>
      <c r="O2" s="25" t="s">
        <v>292</v>
      </c>
      <c r="P2" s="25" t="s">
        <v>293</v>
      </c>
      <c r="Q2" s="25" t="s">
        <v>294</v>
      </c>
      <c r="R2" s="26" t="s">
        <v>295</v>
      </c>
      <c r="S2" s="26" t="s">
        <v>296</v>
      </c>
      <c r="T2" s="26" t="s">
        <v>297</v>
      </c>
      <c r="U2" s="26" t="s">
        <v>298</v>
      </c>
      <c r="V2" s="22" t="s">
        <v>284</v>
      </c>
      <c r="W2" s="22" t="s">
        <v>284</v>
      </c>
      <c r="X2" s="22" t="s">
        <v>284</v>
      </c>
    </row>
    <row r="3" customFormat="false" ht="13.8" hidden="false" customHeight="false" outlineLevel="0" collapsed="false">
      <c r="A3" s="27" t="s">
        <v>299</v>
      </c>
      <c r="B3" s="28" t="s">
        <v>300</v>
      </c>
      <c r="C3" s="29" t="s">
        <v>301</v>
      </c>
      <c r="D3" s="29" t="s">
        <v>302</v>
      </c>
      <c r="E3" s="30" t="n">
        <v>0.060542562</v>
      </c>
      <c r="F3" s="30" t="n">
        <v>0.4445626</v>
      </c>
      <c r="G3" s="30" t="n">
        <v>6.2783818E-009</v>
      </c>
      <c r="H3" s="30" t="n">
        <v>0.0094534545</v>
      </c>
      <c r="I3" s="30" t="n">
        <v>0.0014556664</v>
      </c>
      <c r="J3" s="30" t="n">
        <v>4.7477264E-008</v>
      </c>
      <c r="K3" s="30" t="n">
        <v>1.0879129E-008</v>
      </c>
      <c r="L3" s="30" t="n">
        <v>5.7183184E-010</v>
      </c>
      <c r="M3" s="30" t="n">
        <v>0.0074498036</v>
      </c>
      <c r="N3" s="30" t="n">
        <v>9.3318803E-005</v>
      </c>
      <c r="O3" s="30" t="n">
        <v>0.0049697319</v>
      </c>
      <c r="P3" s="30" t="n">
        <v>0.032882115</v>
      </c>
      <c r="Q3" s="30" t="n">
        <v>3.6609278</v>
      </c>
      <c r="R3" s="30" t="n">
        <v>61.626839</v>
      </c>
      <c r="S3" s="30" t="n">
        <v>0.15972047</v>
      </c>
      <c r="T3" s="30" t="n">
        <v>2.0443829</v>
      </c>
      <c r="U3" s="30" t="n">
        <v>1.2977475E-006</v>
      </c>
      <c r="V3" s="30" t="n">
        <v>8.5697274E-005</v>
      </c>
      <c r="W3" s="30" t="n">
        <v>0.37237267</v>
      </c>
      <c r="X3" s="30" t="n">
        <v>0.072104232</v>
      </c>
    </row>
    <row r="4" customFormat="false" ht="13.8" hidden="false" customHeight="false" outlineLevel="0" collapsed="false">
      <c r="A4" s="27" t="s">
        <v>303</v>
      </c>
      <c r="B4" s="28" t="s">
        <v>304</v>
      </c>
      <c r="C4" s="29" t="s">
        <v>305</v>
      </c>
      <c r="D4" s="29" t="s">
        <v>306</v>
      </c>
      <c r="E4" s="30" t="n">
        <v>0.10540724</v>
      </c>
      <c r="F4" s="30" t="n">
        <v>1.1061238</v>
      </c>
      <c r="G4" s="30" t="n">
        <v>6.1238304E-009</v>
      </c>
      <c r="H4" s="30" t="n">
        <v>0.035083814</v>
      </c>
      <c r="I4" s="30" t="n">
        <v>0.0017671955</v>
      </c>
      <c r="J4" s="30" t="n">
        <v>1.010635E-007</v>
      </c>
      <c r="K4" s="30" t="n">
        <v>1.3642623E-008</v>
      </c>
      <c r="L4" s="30" t="n">
        <v>5.2881169E-010</v>
      </c>
      <c r="M4" s="30" t="n">
        <v>0.014976555</v>
      </c>
      <c r="N4" s="30" t="n">
        <v>6.8064244E-005</v>
      </c>
      <c r="O4" s="30" t="n">
        <v>0.003992328</v>
      </c>
      <c r="P4" s="30" t="n">
        <v>0.065590084</v>
      </c>
      <c r="Q4" s="30" t="n">
        <v>14.5777639</v>
      </c>
      <c r="R4" s="30" t="n">
        <v>59.0766</v>
      </c>
      <c r="S4" s="30" t="n">
        <v>0.11527343</v>
      </c>
      <c r="T4" s="30" t="n">
        <v>2.2493909</v>
      </c>
      <c r="U4" s="30" t="n">
        <v>1.8201174E-006</v>
      </c>
      <c r="V4" s="30" t="n">
        <v>0.71753219</v>
      </c>
      <c r="W4" s="30" t="n">
        <v>0.27334078</v>
      </c>
      <c r="X4" s="30" t="n">
        <v>0.11525083</v>
      </c>
    </row>
    <row r="5" customFormat="false" ht="13.8" hidden="false" customHeight="false" outlineLevel="0" collapsed="false">
      <c r="A5" s="27" t="s">
        <v>307</v>
      </c>
      <c r="B5" s="31" t="s">
        <v>308</v>
      </c>
      <c r="C5" s="32" t="s">
        <v>305</v>
      </c>
      <c r="D5" s="32" t="s">
        <v>309</v>
      </c>
      <c r="E5" s="30" t="n">
        <v>1.3518282</v>
      </c>
      <c r="F5" s="30" t="n">
        <v>14.474184</v>
      </c>
      <c r="G5" s="30" t="n">
        <v>5.4273208E-008</v>
      </c>
      <c r="H5" s="30" t="n">
        <v>0.30685289</v>
      </c>
      <c r="I5" s="30" t="n">
        <v>0.020942186</v>
      </c>
      <c r="J5" s="30" t="n">
        <v>1.3817053E-006</v>
      </c>
      <c r="K5" s="30" t="n">
        <v>2.1237667E-007</v>
      </c>
      <c r="L5" s="30" t="n">
        <v>5.7423135E-009</v>
      </c>
      <c r="M5" s="30" t="n">
        <v>0.2055071</v>
      </c>
      <c r="N5" s="30" t="n">
        <v>0.00057342882</v>
      </c>
      <c r="O5" s="30" t="n">
        <v>0.043273688</v>
      </c>
      <c r="P5" s="30" t="n">
        <v>0.91130068</v>
      </c>
      <c r="Q5" s="30" t="n">
        <v>72.969244</v>
      </c>
      <c r="R5" s="30" t="n">
        <v>965.59624</v>
      </c>
      <c r="S5" s="30" t="n">
        <v>1.1559368</v>
      </c>
      <c r="T5" s="30" t="n">
        <v>24.202021</v>
      </c>
      <c r="U5" s="30" t="n">
        <v>1.7488165E-005</v>
      </c>
      <c r="V5" s="30" t="n">
        <v>10.881833</v>
      </c>
      <c r="W5" s="30" t="n">
        <v>3.6200385</v>
      </c>
      <c r="X5" s="30" t="n">
        <v>-0.027686679</v>
      </c>
    </row>
    <row r="6" customFormat="false" ht="13.8" hidden="false" customHeight="false" outlineLevel="0" collapsed="false">
      <c r="A6" s="27" t="s">
        <v>310</v>
      </c>
      <c r="B6" s="31" t="s">
        <v>311</v>
      </c>
      <c r="C6" s="32" t="s">
        <v>305</v>
      </c>
      <c r="D6" s="32" t="s">
        <v>312</v>
      </c>
    </row>
    <row r="7" customFormat="false" ht="13.8" hidden="false" customHeight="false" outlineLevel="0" collapsed="false">
      <c r="A7" s="33" t="s">
        <v>313</v>
      </c>
      <c r="B7" s="31" t="s">
        <v>314</v>
      </c>
      <c r="C7" s="32" t="s">
        <v>305</v>
      </c>
      <c r="D7" s="32" t="s">
        <v>315</v>
      </c>
      <c r="E7" s="34" t="n">
        <v>0.35237491</v>
      </c>
      <c r="F7" s="34" t="n">
        <v>2.7941587</v>
      </c>
      <c r="G7" s="34" t="n">
        <v>3.6760835E-008</v>
      </c>
      <c r="H7" s="34" t="n">
        <v>0.41853717</v>
      </c>
      <c r="I7" s="34" t="n">
        <v>0.0063435638</v>
      </c>
      <c r="J7" s="34" t="n">
        <v>3.205921E-007</v>
      </c>
      <c r="K7" s="34" t="n">
        <v>3.1449332E-008</v>
      </c>
      <c r="L7" s="34" t="n">
        <v>2.1162373E-009</v>
      </c>
      <c r="M7" s="34" t="n">
        <v>0.044565286</v>
      </c>
      <c r="N7" s="34" t="n">
        <v>0.00038365295</v>
      </c>
      <c r="O7" s="34" t="n">
        <v>0.013201376</v>
      </c>
      <c r="P7" s="34" t="n">
        <v>0.19220629</v>
      </c>
      <c r="Q7" s="34" t="n">
        <v>89.382516</v>
      </c>
      <c r="R7" s="34" t="n">
        <v>161.62783</v>
      </c>
      <c r="S7" s="34" t="n">
        <v>0.95123835</v>
      </c>
      <c r="T7" s="34" t="n">
        <v>19.019492</v>
      </c>
      <c r="U7" s="34" t="n">
        <v>1.0629231E-005</v>
      </c>
      <c r="V7" s="34" t="n">
        <v>1.0381988</v>
      </c>
      <c r="W7" s="34" t="n">
        <v>1.4692988</v>
      </c>
      <c r="X7" s="34" t="n">
        <v>0.28666105</v>
      </c>
    </row>
    <row r="8" customFormat="false" ht="13.8" hidden="false" customHeight="false" outlineLevel="0" collapsed="false">
      <c r="A8" s="27" t="s">
        <v>316</v>
      </c>
      <c r="B8" s="31" t="s">
        <v>317</v>
      </c>
      <c r="C8" s="32" t="s">
        <v>305</v>
      </c>
      <c r="D8" s="32" t="s">
        <v>312</v>
      </c>
      <c r="E8" s="30" t="n">
        <v>0.38585061</v>
      </c>
      <c r="F8" s="30" t="n">
        <v>1.8638007</v>
      </c>
      <c r="G8" s="30" t="n">
        <v>3.0563213E-008</v>
      </c>
      <c r="H8" s="30" t="n">
        <v>0.12093183</v>
      </c>
      <c r="I8" s="30" t="n">
        <v>0.0074266987</v>
      </c>
      <c r="J8" s="30" t="n">
        <v>4.8977736E-007</v>
      </c>
      <c r="K8" s="30" t="n">
        <v>3.3782736E-008</v>
      </c>
      <c r="L8" s="30" t="n">
        <v>2.5370352E-009</v>
      </c>
      <c r="M8" s="30" t="n">
        <v>0.069876768</v>
      </c>
      <c r="N8" s="30" t="n">
        <v>0.00037821484</v>
      </c>
      <c r="O8" s="30" t="n">
        <v>0.015481044</v>
      </c>
      <c r="P8" s="30" t="n">
        <v>0.31118839</v>
      </c>
      <c r="Q8" s="30" t="n">
        <v>78.032228</v>
      </c>
      <c r="R8" s="30" t="n">
        <v>161.6369</v>
      </c>
      <c r="S8" s="30" t="n">
        <v>0.71976888</v>
      </c>
      <c r="T8" s="30" t="n">
        <v>11.335022</v>
      </c>
      <c r="U8" s="30" t="n">
        <v>5.739888E-006</v>
      </c>
      <c r="V8" s="30" t="n">
        <v>0.052745005</v>
      </c>
      <c r="W8" s="30" t="n">
        <v>1.2388943</v>
      </c>
      <c r="X8" s="30" t="n">
        <v>0.57216137</v>
      </c>
    </row>
    <row r="9" customFormat="false" ht="13.8" hidden="false" customHeight="false" outlineLevel="0" collapsed="false">
      <c r="A9" s="32" t="s">
        <v>318</v>
      </c>
      <c r="B9" s="31" t="s">
        <v>319</v>
      </c>
      <c r="C9" s="32" t="s">
        <v>305</v>
      </c>
      <c r="D9" s="32" t="s">
        <v>315</v>
      </c>
      <c r="E9" s="30" t="n">
        <v>1.7116283</v>
      </c>
      <c r="F9" s="30" t="n">
        <v>12.437709</v>
      </c>
      <c r="G9" s="30" t="n">
        <v>1.6295842E-007</v>
      </c>
      <c r="H9" s="30" t="n">
        <v>2.7902202</v>
      </c>
      <c r="I9" s="30" t="n">
        <v>0.026378433</v>
      </c>
      <c r="J9" s="30" t="n">
        <v>1.734343E-006</v>
      </c>
      <c r="K9" s="30" t="n">
        <v>1.4133991E-007</v>
      </c>
      <c r="L9" s="30" t="n">
        <v>9.9481635E-009</v>
      </c>
      <c r="M9" s="30" t="n">
        <v>0.24308599</v>
      </c>
      <c r="N9" s="30" t="n">
        <v>0.0017610285</v>
      </c>
      <c r="O9" s="30" t="n">
        <v>0.056199729</v>
      </c>
      <c r="P9" s="30" t="n">
        <v>1.0552765</v>
      </c>
      <c r="Q9" s="30" t="n">
        <v>293.73664</v>
      </c>
      <c r="R9" s="30" t="n">
        <v>734.55876</v>
      </c>
      <c r="S9" s="30" t="n">
        <v>4.0987693</v>
      </c>
      <c r="T9" s="30" t="n">
        <v>103.02719</v>
      </c>
      <c r="U9" s="30" t="n">
        <v>5.5414662E-005</v>
      </c>
      <c r="V9" s="30" t="n">
        <v>5.1103074</v>
      </c>
      <c r="W9" s="30" t="n">
        <v>6.279359</v>
      </c>
      <c r="X9" s="30" t="n">
        <v>1.048043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28" activeCellId="0" sqref="A28"/>
    </sheetView>
  </sheetViews>
  <sheetFormatPr defaultColWidth="11.53515625" defaultRowHeight="13.8" zeroHeight="false" outlineLevelRow="0" outlineLevelCol="0"/>
  <sheetData>
    <row r="1" customFormat="false" ht="13.8" hidden="false" customHeight="false" outlineLevel="0" collapsed="false">
      <c r="A1" s="35" t="s">
        <v>320</v>
      </c>
      <c r="C1" s="36"/>
      <c r="D1" s="36"/>
      <c r="E1" s="36"/>
      <c r="F1" s="36"/>
      <c r="G1" s="36"/>
    </row>
    <row r="2" customFormat="false" ht="13.8" hidden="false" customHeight="false" outlineLevel="0" collapsed="false">
      <c r="A2" s="35"/>
      <c r="B2" s="35"/>
      <c r="C2" s="36"/>
      <c r="D2" s="36"/>
      <c r="E2" s="36"/>
      <c r="F2" s="36"/>
      <c r="G2" s="36"/>
    </row>
    <row r="3" customFormat="false" ht="24" hidden="false" customHeight="false" outlineLevel="0" collapsed="false">
      <c r="A3" s="36" t="s">
        <v>321</v>
      </c>
      <c r="B3" s="36" t="s">
        <v>156</v>
      </c>
      <c r="C3" s="36" t="s">
        <v>155</v>
      </c>
      <c r="D3" s="36" t="s">
        <v>152</v>
      </c>
      <c r="E3" s="36" t="s">
        <v>158</v>
      </c>
      <c r="F3" s="36" t="s">
        <v>157</v>
      </c>
      <c r="G3" s="36" t="s">
        <v>322</v>
      </c>
    </row>
    <row r="4" customFormat="false" ht="13" hidden="false" customHeight="false" outlineLevel="0" collapsed="false">
      <c r="A4" s="5" t="s">
        <v>170</v>
      </c>
      <c r="B4" s="5" t="n">
        <v>0.07</v>
      </c>
      <c r="C4" s="5" t="n">
        <v>0.1</v>
      </c>
      <c r="D4" s="5" t="n">
        <v>0.05</v>
      </c>
      <c r="E4" s="5" t="n">
        <v>0.13</v>
      </c>
      <c r="F4" s="3" t="n">
        <v>-0.24</v>
      </c>
      <c r="G4" s="3" t="n">
        <v>0.11</v>
      </c>
    </row>
    <row r="5" customFormat="false" ht="13" hidden="false" customHeight="false" outlineLevel="0" collapsed="false">
      <c r="A5" s="5" t="s">
        <v>153</v>
      </c>
      <c r="B5" s="5" t="n">
        <v>0.08</v>
      </c>
      <c r="C5" s="5" t="n">
        <v>0.09</v>
      </c>
      <c r="D5" s="5" t="n">
        <v>0.08</v>
      </c>
      <c r="E5" s="5" t="n">
        <v>0.13</v>
      </c>
      <c r="F5" s="5" t="n">
        <v>0.14</v>
      </c>
      <c r="G5" s="3" t="n">
        <v>0.52</v>
      </c>
    </row>
    <row r="6" customFormat="false" ht="13" hidden="false" customHeight="false" outlineLevel="0" collapsed="false">
      <c r="A6" s="5" t="s">
        <v>91</v>
      </c>
      <c r="B6" s="5" t="n">
        <v>0.22</v>
      </c>
      <c r="C6" s="5" t="n">
        <v>0.11</v>
      </c>
      <c r="D6" s="5" t="n">
        <v>0.04</v>
      </c>
      <c r="E6" s="5" t="n">
        <v>0.17</v>
      </c>
      <c r="F6" s="5" t="n">
        <v>0.05</v>
      </c>
      <c r="G6" s="3" t="n">
        <v>0.59</v>
      </c>
    </row>
    <row r="7" customFormat="false" ht="13" hidden="false" customHeight="false" outlineLevel="0" collapsed="false">
      <c r="A7" s="5" t="s">
        <v>95</v>
      </c>
      <c r="B7" s="5" t="n">
        <v>0.22</v>
      </c>
      <c r="C7" s="5" t="n">
        <v>0.14</v>
      </c>
      <c r="D7" s="5" t="n">
        <v>0.05</v>
      </c>
      <c r="E7" s="5" t="n">
        <v>0.19</v>
      </c>
      <c r="F7" s="5" t="n">
        <v>0.05</v>
      </c>
      <c r="G7" s="3" t="n">
        <v>0.65</v>
      </c>
    </row>
    <row r="8" customFormat="false" ht="13" hidden="false" customHeight="false" outlineLevel="0" collapsed="false">
      <c r="A8" s="5" t="s">
        <v>323</v>
      </c>
      <c r="B8" s="5" t="n">
        <v>0.15</v>
      </c>
      <c r="C8" s="5" t="n">
        <v>0.13</v>
      </c>
      <c r="D8" s="5" t="n">
        <v>0.1</v>
      </c>
      <c r="E8" s="5" t="n">
        <v>0.18</v>
      </c>
      <c r="F8" s="5" t="n">
        <v>0.04</v>
      </c>
      <c r="G8" s="3" t="n">
        <v>0.6</v>
      </c>
    </row>
    <row r="10" customFormat="false" ht="13.8" hidden="false" customHeight="false" outlineLevel="0" collapsed="false">
      <c r="A10" s="37" t="s">
        <v>324</v>
      </c>
    </row>
    <row r="12" customFormat="false" ht="13.8" hidden="false" customHeight="false" outlineLevel="0" collapsed="false">
      <c r="B12" s="4" t="s">
        <v>170</v>
      </c>
      <c r="C12" s="4" t="s">
        <v>153</v>
      </c>
      <c r="D12" s="4" t="s">
        <v>91</v>
      </c>
      <c r="E12" s="4" t="s">
        <v>95</v>
      </c>
      <c r="F12" s="4" t="s">
        <v>172</v>
      </c>
    </row>
    <row r="13" customFormat="false" ht="13.8" hidden="false" customHeight="false" outlineLevel="0" collapsed="false">
      <c r="A13" s="4" t="s">
        <v>325</v>
      </c>
      <c r="B13" s="4" t="n">
        <v>3371.9</v>
      </c>
      <c r="C13" s="4" t="n">
        <v>2042</v>
      </c>
      <c r="D13" s="4" t="n">
        <v>7090</v>
      </c>
      <c r="E13" s="4" t="n">
        <v>7360</v>
      </c>
      <c r="F13" s="4" t="n">
        <v>3222</v>
      </c>
    </row>
    <row r="15" customFormat="false" ht="13.8" hidden="false" customHeight="false" outlineLevel="0" collapsed="false">
      <c r="A15" s="35" t="s">
        <v>326</v>
      </c>
      <c r="B15" s="37"/>
      <c r="C15" s="37"/>
      <c r="D15" s="37"/>
      <c r="E15" s="37"/>
      <c r="F15" s="37"/>
      <c r="G15" s="37"/>
      <c r="H15" s="37"/>
      <c r="I15" s="37"/>
      <c r="J15" s="37"/>
      <c r="K15" s="37"/>
      <c r="L15" s="37"/>
      <c r="M15" s="37"/>
      <c r="N15" s="37"/>
    </row>
    <row r="17" customFormat="false" ht="36.15" hidden="false" customHeight="false" outlineLevel="0" collapsed="false">
      <c r="A17" s="36" t="s">
        <v>327</v>
      </c>
      <c r="B17" s="36" t="s">
        <v>169</v>
      </c>
      <c r="C17" s="36" t="s">
        <v>168</v>
      </c>
      <c r="D17" s="36" t="s">
        <v>160</v>
      </c>
      <c r="E17" s="36" t="s">
        <v>161</v>
      </c>
      <c r="F17" s="36" t="s">
        <v>166</v>
      </c>
      <c r="G17" s="36" t="s">
        <v>152</v>
      </c>
      <c r="H17" s="36" t="s">
        <v>165</v>
      </c>
      <c r="I17" s="36" t="s">
        <v>167</v>
      </c>
      <c r="J17" s="36" t="s">
        <v>162</v>
      </c>
      <c r="K17" s="36" t="s">
        <v>156</v>
      </c>
      <c r="L17" s="36" t="s">
        <v>163</v>
      </c>
      <c r="M17" s="36" t="s">
        <v>328</v>
      </c>
      <c r="N17" s="36" t="s">
        <v>329</v>
      </c>
    </row>
    <row r="18" customFormat="false" ht="13.8" hidden="false" customHeight="false" outlineLevel="0" collapsed="false">
      <c r="A18" s="5" t="s">
        <v>330</v>
      </c>
      <c r="B18" s="5" t="n">
        <v>0.001</v>
      </c>
      <c r="C18" s="5" t="n">
        <v>0.019</v>
      </c>
      <c r="D18" s="5" t="n">
        <v>0.111</v>
      </c>
      <c r="E18" s="5" t="n">
        <v>0</v>
      </c>
      <c r="F18" s="5" t="n">
        <v>0.005</v>
      </c>
      <c r="G18" s="5" t="n">
        <v>0.024</v>
      </c>
      <c r="H18" s="5" t="n">
        <v>0</v>
      </c>
      <c r="I18" s="5" t="n">
        <v>0</v>
      </c>
      <c r="J18" s="5" t="n">
        <v>0.023</v>
      </c>
      <c r="K18" s="5" t="n">
        <v>0.18</v>
      </c>
      <c r="L18" s="5" t="n">
        <v>-0.098</v>
      </c>
      <c r="M18" s="3" t="n">
        <v>0.36</v>
      </c>
      <c r="N18" s="3" t="n">
        <v>0.27</v>
      </c>
    </row>
    <row r="19" customFormat="false" ht="13.8" hidden="false" customHeight="false" outlineLevel="0" collapsed="false">
      <c r="A19" s="5" t="s">
        <v>331</v>
      </c>
      <c r="B19" s="5" t="n">
        <v>0.0031</v>
      </c>
      <c r="C19" s="5" t="n">
        <v>0.047</v>
      </c>
      <c r="D19" s="5" t="n">
        <v>0.087</v>
      </c>
      <c r="E19" s="5" t="n">
        <v>0.004</v>
      </c>
      <c r="F19" s="5" t="n">
        <v>0.005</v>
      </c>
      <c r="G19" s="5" t="n">
        <v>0.095</v>
      </c>
      <c r="H19" s="5" t="n">
        <v>0.002</v>
      </c>
      <c r="I19" s="5" t="n">
        <v>0.058</v>
      </c>
      <c r="J19" s="5" t="n">
        <v>0.104</v>
      </c>
      <c r="K19" s="5" t="n">
        <v>0.083</v>
      </c>
      <c r="L19" s="5" t="n">
        <v>0.029</v>
      </c>
      <c r="M19" s="3" t="n">
        <v>0.49</v>
      </c>
      <c r="N19" s="3" t="n">
        <v>0.52</v>
      </c>
    </row>
    <row r="20" customFormat="false" ht="13.8" hidden="false" customHeight="false" outlineLevel="0" collapsed="false">
      <c r="A20" s="5" t="s">
        <v>332</v>
      </c>
      <c r="B20" s="5" t="n">
        <v>0.003</v>
      </c>
      <c r="C20" s="5" t="n">
        <v>0.01</v>
      </c>
      <c r="D20" s="5" t="n">
        <v>0.087</v>
      </c>
      <c r="E20" s="5" t="n">
        <v>0.006</v>
      </c>
      <c r="F20" s="5" t="n">
        <v>0.002</v>
      </c>
      <c r="G20" s="5" t="n">
        <v>0.043</v>
      </c>
      <c r="H20" s="5" t="n">
        <v>0</v>
      </c>
      <c r="I20" s="5" t="n">
        <v>0.073</v>
      </c>
      <c r="J20" s="5" t="n">
        <v>0.036</v>
      </c>
      <c r="K20" s="5" t="n">
        <v>0.234</v>
      </c>
      <c r="L20" s="5" t="n">
        <v>0.098</v>
      </c>
      <c r="M20" s="3" t="n">
        <v>0.49</v>
      </c>
      <c r="N20" s="3" t="n">
        <v>0.59</v>
      </c>
    </row>
    <row r="21" customFormat="false" ht="13.8" hidden="false" customHeight="false" outlineLevel="0" collapsed="false">
      <c r="A21" s="5" t="s">
        <v>333</v>
      </c>
      <c r="B21" s="5" t="n">
        <v>0.005</v>
      </c>
      <c r="C21" s="5" t="n">
        <v>0.009</v>
      </c>
      <c r="D21" s="5" t="n">
        <v>0.084</v>
      </c>
      <c r="E21" s="5" t="n">
        <v>0.01</v>
      </c>
      <c r="F21" s="5" t="n">
        <v>0.003</v>
      </c>
      <c r="G21" s="5" t="n">
        <v>0.044</v>
      </c>
      <c r="H21" s="5" t="n">
        <v>0</v>
      </c>
      <c r="I21" s="5" t="n">
        <v>0.06</v>
      </c>
      <c r="J21" s="5" t="n">
        <v>0.035</v>
      </c>
      <c r="K21" s="5" t="n">
        <v>0.227</v>
      </c>
      <c r="L21" s="5" t="n">
        <v>0.171</v>
      </c>
      <c r="M21" s="3" t="n">
        <v>0.48</v>
      </c>
      <c r="N21" s="3" t="n">
        <v>0.65</v>
      </c>
    </row>
    <row r="22" customFormat="false" ht="13.8" hidden="false" customHeight="false" outlineLevel="0" collapsed="false">
      <c r="A22" s="5" t="s">
        <v>334</v>
      </c>
      <c r="B22" s="5" t="n">
        <v>0.004</v>
      </c>
      <c r="C22" s="5" t="n">
        <v>0.032</v>
      </c>
      <c r="D22" s="5" t="n">
        <v>0.118</v>
      </c>
      <c r="E22" s="5" t="n">
        <v>0.01</v>
      </c>
      <c r="F22" s="5" t="n">
        <v>0.002</v>
      </c>
      <c r="G22" s="5" t="n">
        <v>0.099</v>
      </c>
      <c r="H22" s="5" t="n">
        <v>0</v>
      </c>
      <c r="I22" s="5" t="n">
        <v>0.062</v>
      </c>
      <c r="J22" s="5" t="n">
        <v>0.068</v>
      </c>
      <c r="K22" s="5" t="n">
        <v>0.147</v>
      </c>
      <c r="L22" s="5" t="n">
        <v>0.057</v>
      </c>
      <c r="M22" s="3" t="n">
        <v>0.54</v>
      </c>
      <c r="N22" s="3" t="n">
        <v>0.6</v>
      </c>
    </row>
    <row r="25" customFormat="false" ht="13.8" hidden="false" customHeight="false" outlineLevel="0" collapsed="false">
      <c r="A25" s="37" t="s">
        <v>6</v>
      </c>
    </row>
    <row r="27" customFormat="false" ht="13.8" hidden="false" customHeight="false" outlineLevel="0" collapsed="false">
      <c r="A27" s="8" t="s">
        <v>86</v>
      </c>
      <c r="B27" s="9" t="s">
        <v>87</v>
      </c>
      <c r="C27" s="9" t="s">
        <v>88</v>
      </c>
      <c r="D27" s="8" t="s">
        <v>89</v>
      </c>
      <c r="E27" s="8" t="s">
        <v>1</v>
      </c>
      <c r="F27" s="4" t="s">
        <v>335</v>
      </c>
    </row>
    <row r="28" customFormat="false" ht="13.8" hidden="false" customHeight="false" outlineLevel="0" collapsed="false">
      <c r="A28" s="8" t="s">
        <v>90</v>
      </c>
      <c r="B28" s="9" t="n">
        <v>0.52</v>
      </c>
      <c r="C28" s="9" t="n">
        <f aca="false">B28*F28</f>
        <v>1061.84</v>
      </c>
      <c r="D28" s="5" t="s">
        <v>153</v>
      </c>
      <c r="E28" s="8" t="s">
        <v>93</v>
      </c>
      <c r="F28" s="4" t="n">
        <v>2042</v>
      </c>
    </row>
    <row r="29" customFormat="false" ht="24" hidden="false" customHeight="false" outlineLevel="0" collapsed="false">
      <c r="A29" s="8" t="s">
        <v>90</v>
      </c>
      <c r="B29" s="9" t="n">
        <v>0.49</v>
      </c>
      <c r="C29" s="9" t="n">
        <f aca="false">B29*F29</f>
        <v>1000.58</v>
      </c>
      <c r="D29" s="5" t="s">
        <v>153</v>
      </c>
      <c r="E29" s="5" t="s">
        <v>94</v>
      </c>
      <c r="F29" s="4" t="n">
        <v>2042</v>
      </c>
    </row>
    <row r="30" customFormat="false" ht="13.8" hidden="false" customHeight="false" outlineLevel="0" collapsed="false">
      <c r="A30" s="8" t="s">
        <v>90</v>
      </c>
      <c r="B30" s="9" t="n">
        <v>0.11</v>
      </c>
      <c r="C30" s="9" t="n">
        <f aca="false">B30*F30</f>
        <v>370.909</v>
      </c>
      <c r="D30" s="5" t="s">
        <v>170</v>
      </c>
      <c r="E30" s="8" t="s">
        <v>93</v>
      </c>
      <c r="F30" s="4" t="n">
        <v>3371.9</v>
      </c>
    </row>
    <row r="31" customFormat="false" ht="24" hidden="false" customHeight="false" outlineLevel="0" collapsed="false">
      <c r="A31" s="8" t="s">
        <v>90</v>
      </c>
      <c r="B31" s="9" t="n">
        <v>0.36</v>
      </c>
      <c r="C31" s="9" t="n">
        <f aca="false">B31*F31</f>
        <v>1213.884</v>
      </c>
      <c r="D31" s="5" t="s">
        <v>170</v>
      </c>
      <c r="E31" s="5" t="s">
        <v>94</v>
      </c>
      <c r="F31" s="4" t="n">
        <v>3371.9</v>
      </c>
    </row>
    <row r="32" customFormat="false" ht="13.8" hidden="false" customHeight="false" outlineLevel="0" collapsed="false">
      <c r="A32" s="8" t="s">
        <v>90</v>
      </c>
      <c r="B32" s="9" t="n">
        <v>0.59</v>
      </c>
      <c r="C32" s="9" t="n">
        <f aca="false">B32*F32</f>
        <v>4183.1</v>
      </c>
      <c r="D32" s="5" t="s">
        <v>91</v>
      </c>
      <c r="E32" s="8" t="s">
        <v>93</v>
      </c>
      <c r="F32" s="4" t="n">
        <v>7090</v>
      </c>
    </row>
    <row r="33" customFormat="false" ht="24" hidden="false" customHeight="false" outlineLevel="0" collapsed="false">
      <c r="A33" s="8" t="s">
        <v>90</v>
      </c>
      <c r="B33" s="9" t="n">
        <v>0.49</v>
      </c>
      <c r="C33" s="9" t="n">
        <f aca="false">B33*F33</f>
        <v>3474.1</v>
      </c>
      <c r="D33" s="5" t="s">
        <v>91</v>
      </c>
      <c r="E33" s="5" t="s">
        <v>94</v>
      </c>
      <c r="F33" s="4" t="n">
        <v>7090</v>
      </c>
    </row>
    <row r="34" customFormat="false" ht="13.8" hidden="false" customHeight="false" outlineLevel="0" collapsed="false">
      <c r="A34" s="8" t="s">
        <v>90</v>
      </c>
      <c r="B34" s="9" t="n">
        <v>0.65</v>
      </c>
      <c r="C34" s="9" t="n">
        <f aca="false">B34*F34</f>
        <v>4784</v>
      </c>
      <c r="D34" s="5" t="s">
        <v>95</v>
      </c>
      <c r="E34" s="8" t="s">
        <v>93</v>
      </c>
      <c r="F34" s="4" t="n">
        <v>7360</v>
      </c>
    </row>
    <row r="35" customFormat="false" ht="24" hidden="false" customHeight="false" outlineLevel="0" collapsed="false">
      <c r="A35" s="8" t="s">
        <v>90</v>
      </c>
      <c r="B35" s="9" t="n">
        <v>0.48</v>
      </c>
      <c r="C35" s="9" t="n">
        <f aca="false">B35*F35</f>
        <v>3532.8</v>
      </c>
      <c r="D35" s="5" t="s">
        <v>95</v>
      </c>
      <c r="E35" s="5" t="s">
        <v>94</v>
      </c>
      <c r="F35" s="4" t="n">
        <v>7360</v>
      </c>
    </row>
    <row r="36" customFormat="false" ht="13.8" hidden="false" customHeight="false" outlineLevel="0" collapsed="false">
      <c r="A36" s="8" t="s">
        <v>90</v>
      </c>
      <c r="B36" s="9" t="n">
        <v>0.6</v>
      </c>
      <c r="C36" s="9" t="n">
        <f aca="false">B36*F36</f>
        <v>1933.2</v>
      </c>
      <c r="D36" s="5" t="s">
        <v>323</v>
      </c>
      <c r="E36" s="8" t="s">
        <v>93</v>
      </c>
      <c r="F36" s="4" t="n">
        <v>3222</v>
      </c>
    </row>
    <row r="37" customFormat="false" ht="24" hidden="false" customHeight="false" outlineLevel="0" collapsed="false">
      <c r="A37" s="8" t="s">
        <v>90</v>
      </c>
      <c r="B37" s="9" t="n">
        <v>0.54</v>
      </c>
      <c r="C37" s="9" t="n">
        <f aca="false">B37*F37</f>
        <v>1739.88</v>
      </c>
      <c r="D37" s="5" t="s">
        <v>323</v>
      </c>
      <c r="E37" s="5" t="s">
        <v>94</v>
      </c>
      <c r="F37" s="4" t="n">
        <v>3222</v>
      </c>
    </row>
    <row r="40" customFormat="false" ht="13.8" hidden="false" customHeight="false" outlineLevel="0" collapsed="false">
      <c r="A40" s="37" t="s">
        <v>9</v>
      </c>
    </row>
    <row r="42" customFormat="false" ht="13.8" hidden="false" customHeight="false" outlineLevel="0" collapsed="false">
      <c r="A42" s="8" t="s">
        <v>86</v>
      </c>
      <c r="B42" s="8" t="s">
        <v>146</v>
      </c>
      <c r="C42" s="8" t="s">
        <v>89</v>
      </c>
      <c r="D42" s="17" t="s">
        <v>87</v>
      </c>
      <c r="E42" s="9" t="s">
        <v>88</v>
      </c>
      <c r="F42" s="8" t="s">
        <v>1</v>
      </c>
      <c r="G42" s="4" t="s">
        <v>335</v>
      </c>
    </row>
    <row r="43" customFormat="false" ht="24" hidden="false" customHeight="false" outlineLevel="0" collapsed="false">
      <c r="A43" s="8" t="s">
        <v>90</v>
      </c>
      <c r="B43" s="8" t="s">
        <v>152</v>
      </c>
      <c r="C43" s="5" t="s">
        <v>153</v>
      </c>
      <c r="D43" s="17" t="n">
        <v>0.08</v>
      </c>
      <c r="E43" s="9" t="n">
        <f aca="false">D43*G43</f>
        <v>163.36</v>
      </c>
      <c r="F43" s="5" t="s">
        <v>93</v>
      </c>
      <c r="G43" s="4" t="n">
        <v>2042</v>
      </c>
    </row>
    <row r="44" customFormat="false" ht="24" hidden="false" customHeight="false" outlineLevel="0" collapsed="false">
      <c r="A44" s="8" t="s">
        <v>90</v>
      </c>
      <c r="B44" s="8" t="s">
        <v>155</v>
      </c>
      <c r="C44" s="5" t="s">
        <v>153</v>
      </c>
      <c r="D44" s="17" t="n">
        <v>0.09</v>
      </c>
      <c r="E44" s="9" t="n">
        <f aca="false">D44*G44</f>
        <v>183.78</v>
      </c>
      <c r="F44" s="5" t="s">
        <v>93</v>
      </c>
      <c r="G44" s="4" t="n">
        <v>2042</v>
      </c>
    </row>
    <row r="45" customFormat="false" ht="24" hidden="false" customHeight="false" outlineLevel="0" collapsed="false">
      <c r="A45" s="8" t="s">
        <v>90</v>
      </c>
      <c r="B45" s="8" t="s">
        <v>156</v>
      </c>
      <c r="C45" s="5" t="s">
        <v>153</v>
      </c>
      <c r="D45" s="17" t="n">
        <v>0.08</v>
      </c>
      <c r="E45" s="9" t="n">
        <f aca="false">D45*G45</f>
        <v>163.36</v>
      </c>
      <c r="F45" s="5" t="s">
        <v>93</v>
      </c>
      <c r="G45" s="4" t="n">
        <v>2042</v>
      </c>
    </row>
    <row r="46" customFormat="false" ht="24" hidden="false" customHeight="false" outlineLevel="0" collapsed="false">
      <c r="A46" s="8" t="s">
        <v>90</v>
      </c>
      <c r="B46" s="8" t="s">
        <v>157</v>
      </c>
      <c r="C46" s="5" t="s">
        <v>153</v>
      </c>
      <c r="D46" s="17" t="n">
        <v>0.14</v>
      </c>
      <c r="E46" s="9" t="n">
        <f aca="false">D46*G46</f>
        <v>285.88</v>
      </c>
      <c r="F46" s="5" t="s">
        <v>93</v>
      </c>
      <c r="G46" s="4" t="n">
        <v>2042</v>
      </c>
    </row>
    <row r="47" customFormat="false" ht="24" hidden="false" customHeight="false" outlineLevel="0" collapsed="false">
      <c r="A47" s="8" t="s">
        <v>90</v>
      </c>
      <c r="B47" s="8" t="s">
        <v>158</v>
      </c>
      <c r="C47" s="5" t="s">
        <v>153</v>
      </c>
      <c r="D47" s="17" t="n">
        <v>0.13</v>
      </c>
      <c r="E47" s="9" t="n">
        <f aca="false">D47*G47</f>
        <v>265.46</v>
      </c>
      <c r="F47" s="5" t="s">
        <v>93</v>
      </c>
      <c r="G47" s="4" t="n">
        <v>2042</v>
      </c>
    </row>
    <row r="48" customFormat="false" ht="24" hidden="false" customHeight="false" outlineLevel="0" collapsed="false">
      <c r="A48" s="8" t="s">
        <v>90</v>
      </c>
      <c r="B48" s="8" t="s">
        <v>152</v>
      </c>
      <c r="C48" s="5" t="s">
        <v>153</v>
      </c>
      <c r="D48" s="17" t="n">
        <v>0.095</v>
      </c>
      <c r="E48" s="9" t="n">
        <f aca="false">D48*G48</f>
        <v>193.99</v>
      </c>
      <c r="F48" s="5" t="s">
        <v>94</v>
      </c>
      <c r="G48" s="4" t="n">
        <v>2042</v>
      </c>
    </row>
    <row r="49" customFormat="false" ht="24" hidden="false" customHeight="false" outlineLevel="0" collapsed="false">
      <c r="A49" s="8" t="s">
        <v>90</v>
      </c>
      <c r="B49" s="8" t="s">
        <v>160</v>
      </c>
      <c r="C49" s="5" t="s">
        <v>153</v>
      </c>
      <c r="D49" s="17" t="n">
        <v>0.087</v>
      </c>
      <c r="E49" s="9" t="n">
        <f aca="false">D49*G49</f>
        <v>177.654</v>
      </c>
      <c r="F49" s="5" t="s">
        <v>94</v>
      </c>
      <c r="G49" s="4" t="n">
        <v>2042</v>
      </c>
    </row>
    <row r="50" customFormat="false" ht="24" hidden="false" customHeight="false" outlineLevel="0" collapsed="false">
      <c r="A50" s="8" t="s">
        <v>90</v>
      </c>
      <c r="B50" s="8" t="s">
        <v>156</v>
      </c>
      <c r="C50" s="5" t="s">
        <v>153</v>
      </c>
      <c r="D50" s="17" t="n">
        <v>0.083</v>
      </c>
      <c r="E50" s="9" t="n">
        <f aca="false">D50*G50</f>
        <v>169.486</v>
      </c>
      <c r="F50" s="5" t="s">
        <v>94</v>
      </c>
      <c r="G50" s="4" t="n">
        <v>2042</v>
      </c>
    </row>
    <row r="51" customFormat="false" ht="24" hidden="false" customHeight="false" outlineLevel="0" collapsed="false">
      <c r="A51" s="8" t="s">
        <v>90</v>
      </c>
      <c r="B51" s="8" t="s">
        <v>161</v>
      </c>
      <c r="C51" s="5" t="s">
        <v>153</v>
      </c>
      <c r="D51" s="17" t="n">
        <v>0.004</v>
      </c>
      <c r="E51" s="9" t="n">
        <f aca="false">D51*G51</f>
        <v>8.168</v>
      </c>
      <c r="F51" s="5" t="s">
        <v>94</v>
      </c>
      <c r="G51" s="4" t="n">
        <v>2042</v>
      </c>
    </row>
    <row r="52" customFormat="false" ht="24" hidden="false" customHeight="false" outlineLevel="0" collapsed="false">
      <c r="A52" s="8" t="s">
        <v>90</v>
      </c>
      <c r="B52" s="8" t="s">
        <v>162</v>
      </c>
      <c r="C52" s="5" t="s">
        <v>153</v>
      </c>
      <c r="D52" s="17" t="n">
        <v>0.104</v>
      </c>
      <c r="E52" s="9" t="n">
        <f aca="false">D52*G52</f>
        <v>212.368</v>
      </c>
      <c r="F52" s="5" t="s">
        <v>94</v>
      </c>
      <c r="G52" s="4" t="n">
        <v>2042</v>
      </c>
    </row>
    <row r="53" customFormat="false" ht="24" hidden="false" customHeight="false" outlineLevel="0" collapsed="false">
      <c r="A53" s="8" t="s">
        <v>90</v>
      </c>
      <c r="B53" s="8" t="s">
        <v>163</v>
      </c>
      <c r="C53" s="5" t="s">
        <v>153</v>
      </c>
      <c r="D53" s="17" t="n">
        <v>0.029</v>
      </c>
      <c r="E53" s="9" t="n">
        <f aca="false">D53*G53</f>
        <v>59.218</v>
      </c>
      <c r="F53" s="5" t="s">
        <v>94</v>
      </c>
      <c r="G53" s="4" t="n">
        <v>2042</v>
      </c>
    </row>
    <row r="54" customFormat="false" ht="24" hidden="false" customHeight="false" outlineLevel="0" collapsed="false">
      <c r="A54" s="8" t="s">
        <v>90</v>
      </c>
      <c r="B54" s="8" t="s">
        <v>165</v>
      </c>
      <c r="C54" s="5" t="s">
        <v>153</v>
      </c>
      <c r="D54" s="17" t="n">
        <v>0.002</v>
      </c>
      <c r="E54" s="9" t="n">
        <f aca="false">D54*G54</f>
        <v>4.084</v>
      </c>
      <c r="F54" s="5" t="s">
        <v>94</v>
      </c>
      <c r="G54" s="4" t="n">
        <v>2042</v>
      </c>
    </row>
    <row r="55" customFormat="false" ht="24" hidden="false" customHeight="false" outlineLevel="0" collapsed="false">
      <c r="A55" s="8" t="s">
        <v>90</v>
      </c>
      <c r="B55" s="8" t="s">
        <v>166</v>
      </c>
      <c r="C55" s="5" t="s">
        <v>153</v>
      </c>
      <c r="D55" s="17" t="n">
        <v>0.005</v>
      </c>
      <c r="E55" s="9" t="n">
        <f aca="false">D55*G55</f>
        <v>10.21</v>
      </c>
      <c r="F55" s="5" t="s">
        <v>94</v>
      </c>
      <c r="G55" s="4" t="n">
        <v>2042</v>
      </c>
    </row>
    <row r="56" customFormat="false" ht="24" hidden="false" customHeight="false" outlineLevel="0" collapsed="false">
      <c r="A56" s="8" t="s">
        <v>90</v>
      </c>
      <c r="B56" s="8" t="s">
        <v>167</v>
      </c>
      <c r="C56" s="5" t="s">
        <v>153</v>
      </c>
      <c r="D56" s="17" t="n">
        <v>0.058</v>
      </c>
      <c r="E56" s="9" t="n">
        <f aca="false">D56*G56</f>
        <v>118.436</v>
      </c>
      <c r="F56" s="5" t="s">
        <v>94</v>
      </c>
      <c r="G56" s="4" t="n">
        <v>2042</v>
      </c>
    </row>
    <row r="57" customFormat="false" ht="24" hidden="false" customHeight="false" outlineLevel="0" collapsed="false">
      <c r="A57" s="8" t="s">
        <v>90</v>
      </c>
      <c r="B57" s="8" t="s">
        <v>168</v>
      </c>
      <c r="C57" s="5" t="s">
        <v>153</v>
      </c>
      <c r="D57" s="17" t="n">
        <v>0.047</v>
      </c>
      <c r="E57" s="9" t="n">
        <f aca="false">D57*G57</f>
        <v>95.974</v>
      </c>
      <c r="F57" s="5" t="s">
        <v>94</v>
      </c>
      <c r="G57" s="4" t="n">
        <v>2042</v>
      </c>
    </row>
    <row r="58" customFormat="false" ht="24" hidden="false" customHeight="false" outlineLevel="0" collapsed="false">
      <c r="A58" s="8" t="s">
        <v>90</v>
      </c>
      <c r="B58" s="8" t="s">
        <v>169</v>
      </c>
      <c r="C58" s="5" t="s">
        <v>153</v>
      </c>
      <c r="D58" s="17" t="n">
        <v>0.0031</v>
      </c>
      <c r="E58" s="9" t="n">
        <f aca="false">D58*G58</f>
        <v>6.3302</v>
      </c>
      <c r="F58" s="5" t="s">
        <v>94</v>
      </c>
      <c r="G58" s="4" t="n">
        <v>2042</v>
      </c>
    </row>
    <row r="59" customFormat="false" ht="24" hidden="false" customHeight="false" outlineLevel="0" collapsed="false">
      <c r="A59" s="8" t="s">
        <v>90</v>
      </c>
      <c r="B59" s="8" t="s">
        <v>152</v>
      </c>
      <c r="C59" s="5" t="s">
        <v>170</v>
      </c>
      <c r="D59" s="17" t="n">
        <v>0.05</v>
      </c>
      <c r="E59" s="9" t="n">
        <f aca="false">D59*G59</f>
        <v>168.595</v>
      </c>
      <c r="F59" s="5" t="s">
        <v>93</v>
      </c>
      <c r="G59" s="4" t="n">
        <v>3371.9</v>
      </c>
    </row>
    <row r="60" customFormat="false" ht="24" hidden="false" customHeight="false" outlineLevel="0" collapsed="false">
      <c r="A60" s="8" t="s">
        <v>90</v>
      </c>
      <c r="B60" s="8" t="s">
        <v>155</v>
      </c>
      <c r="C60" s="5" t="s">
        <v>170</v>
      </c>
      <c r="D60" s="17" t="n">
        <v>0.1</v>
      </c>
      <c r="E60" s="9" t="n">
        <f aca="false">D60*G60</f>
        <v>337.19</v>
      </c>
      <c r="F60" s="5" t="s">
        <v>93</v>
      </c>
      <c r="G60" s="4" t="n">
        <v>3371.9</v>
      </c>
    </row>
    <row r="61" customFormat="false" ht="24" hidden="false" customHeight="false" outlineLevel="0" collapsed="false">
      <c r="A61" s="8" t="s">
        <v>90</v>
      </c>
      <c r="B61" s="8" t="s">
        <v>156</v>
      </c>
      <c r="C61" s="5" t="s">
        <v>170</v>
      </c>
      <c r="D61" s="17" t="n">
        <v>0.07</v>
      </c>
      <c r="E61" s="9" t="n">
        <f aca="false">D61*G61</f>
        <v>236.033</v>
      </c>
      <c r="F61" s="5" t="s">
        <v>93</v>
      </c>
      <c r="G61" s="4" t="n">
        <v>3371.9</v>
      </c>
    </row>
    <row r="62" customFormat="false" ht="24" hidden="false" customHeight="false" outlineLevel="0" collapsed="false">
      <c r="A62" s="8" t="s">
        <v>90</v>
      </c>
      <c r="B62" s="8" t="s">
        <v>157</v>
      </c>
      <c r="C62" s="5" t="s">
        <v>170</v>
      </c>
      <c r="D62" s="17" t="n">
        <v>-0.24</v>
      </c>
      <c r="E62" s="9" t="n">
        <f aca="false">D62*G62</f>
        <v>-809.256</v>
      </c>
      <c r="F62" s="5" t="s">
        <v>93</v>
      </c>
      <c r="G62" s="4" t="n">
        <v>3371.9</v>
      </c>
    </row>
    <row r="63" customFormat="false" ht="24" hidden="false" customHeight="false" outlineLevel="0" collapsed="false">
      <c r="A63" s="8" t="s">
        <v>90</v>
      </c>
      <c r="B63" s="8" t="s">
        <v>158</v>
      </c>
      <c r="C63" s="5" t="s">
        <v>170</v>
      </c>
      <c r="D63" s="17" t="n">
        <v>0.13</v>
      </c>
      <c r="E63" s="9" t="n">
        <f aca="false">D63*G63</f>
        <v>438.347</v>
      </c>
      <c r="F63" s="5" t="s">
        <v>93</v>
      </c>
      <c r="G63" s="4" t="n">
        <v>3371.9</v>
      </c>
    </row>
    <row r="64" customFormat="false" ht="24" hidden="false" customHeight="false" outlineLevel="0" collapsed="false">
      <c r="A64" s="8" t="s">
        <v>90</v>
      </c>
      <c r="B64" s="8" t="s">
        <v>152</v>
      </c>
      <c r="C64" s="5" t="s">
        <v>170</v>
      </c>
      <c r="D64" s="17" t="n">
        <v>0.024</v>
      </c>
      <c r="E64" s="9" t="n">
        <f aca="false">D64*G64</f>
        <v>80.9256</v>
      </c>
      <c r="F64" s="5" t="s">
        <v>94</v>
      </c>
      <c r="G64" s="4" t="n">
        <v>3371.9</v>
      </c>
    </row>
    <row r="65" customFormat="false" ht="24" hidden="false" customHeight="false" outlineLevel="0" collapsed="false">
      <c r="A65" s="8" t="s">
        <v>90</v>
      </c>
      <c r="B65" s="8" t="s">
        <v>160</v>
      </c>
      <c r="C65" s="5" t="s">
        <v>170</v>
      </c>
      <c r="D65" s="17" t="n">
        <v>0.111</v>
      </c>
      <c r="E65" s="9" t="n">
        <f aca="false">D65*G65</f>
        <v>374.2809</v>
      </c>
      <c r="F65" s="5" t="s">
        <v>94</v>
      </c>
      <c r="G65" s="4" t="n">
        <v>3371.9</v>
      </c>
    </row>
    <row r="66" customFormat="false" ht="24" hidden="false" customHeight="false" outlineLevel="0" collapsed="false">
      <c r="A66" s="8" t="s">
        <v>90</v>
      </c>
      <c r="B66" s="8" t="s">
        <v>156</v>
      </c>
      <c r="C66" s="5" t="s">
        <v>170</v>
      </c>
      <c r="D66" s="17" t="n">
        <v>0.18</v>
      </c>
      <c r="E66" s="9" t="n">
        <f aca="false">D66*G66</f>
        <v>606.942</v>
      </c>
      <c r="F66" s="5" t="s">
        <v>94</v>
      </c>
      <c r="G66" s="4" t="n">
        <v>3371.9</v>
      </c>
    </row>
    <row r="67" customFormat="false" ht="24" hidden="false" customHeight="false" outlineLevel="0" collapsed="false">
      <c r="A67" s="8" t="s">
        <v>90</v>
      </c>
      <c r="B67" s="8" t="s">
        <v>161</v>
      </c>
      <c r="C67" s="5" t="s">
        <v>170</v>
      </c>
      <c r="D67" s="17" t="n">
        <v>0</v>
      </c>
      <c r="E67" s="9" t="n">
        <f aca="false">D67*G67</f>
        <v>0</v>
      </c>
      <c r="F67" s="5" t="s">
        <v>94</v>
      </c>
      <c r="G67" s="4" t="n">
        <v>3371.9</v>
      </c>
    </row>
    <row r="68" customFormat="false" ht="24" hidden="false" customHeight="false" outlineLevel="0" collapsed="false">
      <c r="A68" s="8" t="s">
        <v>90</v>
      </c>
      <c r="B68" s="8" t="s">
        <v>162</v>
      </c>
      <c r="C68" s="5" t="s">
        <v>170</v>
      </c>
      <c r="D68" s="17" t="n">
        <v>0.023</v>
      </c>
      <c r="E68" s="9" t="n">
        <f aca="false">D68*G68</f>
        <v>77.5537</v>
      </c>
      <c r="F68" s="5" t="s">
        <v>94</v>
      </c>
      <c r="G68" s="4" t="n">
        <v>3371.9</v>
      </c>
    </row>
    <row r="69" customFormat="false" ht="24" hidden="false" customHeight="false" outlineLevel="0" collapsed="false">
      <c r="A69" s="8" t="s">
        <v>90</v>
      </c>
      <c r="B69" s="8" t="s">
        <v>163</v>
      </c>
      <c r="C69" s="5" t="s">
        <v>170</v>
      </c>
      <c r="D69" s="17" t="n">
        <v>-0.098</v>
      </c>
      <c r="E69" s="9" t="n">
        <f aca="false">D69*G69</f>
        <v>-330.4462</v>
      </c>
      <c r="F69" s="5" t="s">
        <v>94</v>
      </c>
      <c r="G69" s="4" t="n">
        <v>3371.9</v>
      </c>
    </row>
    <row r="70" customFormat="false" ht="24" hidden="false" customHeight="false" outlineLevel="0" collapsed="false">
      <c r="A70" s="8" t="s">
        <v>90</v>
      </c>
      <c r="B70" s="8" t="s">
        <v>165</v>
      </c>
      <c r="C70" s="5" t="s">
        <v>170</v>
      </c>
      <c r="D70" s="17" t="n">
        <v>0</v>
      </c>
      <c r="E70" s="9" t="n">
        <f aca="false">D70*G70</f>
        <v>0</v>
      </c>
      <c r="F70" s="5" t="s">
        <v>94</v>
      </c>
      <c r="G70" s="4" t="n">
        <v>3371.9</v>
      </c>
    </row>
    <row r="71" customFormat="false" ht="24" hidden="false" customHeight="false" outlineLevel="0" collapsed="false">
      <c r="A71" s="8" t="s">
        <v>90</v>
      </c>
      <c r="B71" s="8" t="s">
        <v>166</v>
      </c>
      <c r="C71" s="5" t="s">
        <v>170</v>
      </c>
      <c r="D71" s="17" t="n">
        <v>0.005</v>
      </c>
      <c r="E71" s="9" t="n">
        <f aca="false">D71*G71</f>
        <v>16.8595</v>
      </c>
      <c r="F71" s="5" t="s">
        <v>94</v>
      </c>
      <c r="G71" s="4" t="n">
        <v>3371.9</v>
      </c>
    </row>
    <row r="72" customFormat="false" ht="24" hidden="false" customHeight="false" outlineLevel="0" collapsed="false">
      <c r="A72" s="8" t="s">
        <v>90</v>
      </c>
      <c r="B72" s="8" t="s">
        <v>167</v>
      </c>
      <c r="C72" s="5" t="s">
        <v>170</v>
      </c>
      <c r="D72" s="17" t="n">
        <v>0</v>
      </c>
      <c r="E72" s="9" t="n">
        <f aca="false">D72*G72</f>
        <v>0</v>
      </c>
      <c r="F72" s="5" t="s">
        <v>94</v>
      </c>
      <c r="G72" s="4" t="n">
        <v>3371.9</v>
      </c>
    </row>
    <row r="73" customFormat="false" ht="24" hidden="false" customHeight="false" outlineLevel="0" collapsed="false">
      <c r="A73" s="8" t="s">
        <v>90</v>
      </c>
      <c r="B73" s="8" t="s">
        <v>168</v>
      </c>
      <c r="C73" s="5" t="s">
        <v>170</v>
      </c>
      <c r="D73" s="17" t="n">
        <v>0.019</v>
      </c>
      <c r="E73" s="9" t="n">
        <f aca="false">D73*G73</f>
        <v>64.0661</v>
      </c>
      <c r="F73" s="5" t="s">
        <v>94</v>
      </c>
      <c r="G73" s="4" t="n">
        <v>3371.9</v>
      </c>
    </row>
    <row r="74" customFormat="false" ht="24" hidden="false" customHeight="false" outlineLevel="0" collapsed="false">
      <c r="A74" s="8" t="s">
        <v>90</v>
      </c>
      <c r="B74" s="8" t="s">
        <v>169</v>
      </c>
      <c r="C74" s="5" t="s">
        <v>170</v>
      </c>
      <c r="D74" s="17" t="n">
        <v>0.001</v>
      </c>
      <c r="E74" s="9" t="n">
        <f aca="false">D74*G74</f>
        <v>3.3719</v>
      </c>
      <c r="F74" s="5" t="s">
        <v>94</v>
      </c>
      <c r="G74" s="4" t="n">
        <v>3371.9</v>
      </c>
    </row>
    <row r="75" customFormat="false" ht="24" hidden="false" customHeight="false" outlineLevel="0" collapsed="false">
      <c r="A75" s="8" t="s">
        <v>90</v>
      </c>
      <c r="B75" s="8" t="s">
        <v>152</v>
      </c>
      <c r="C75" s="5" t="s">
        <v>91</v>
      </c>
      <c r="D75" s="17" t="n">
        <v>0.04</v>
      </c>
      <c r="E75" s="9" t="n">
        <f aca="false">D75*G75</f>
        <v>283.6</v>
      </c>
      <c r="F75" s="5" t="s">
        <v>93</v>
      </c>
      <c r="G75" s="4" t="n">
        <v>7090</v>
      </c>
    </row>
    <row r="76" customFormat="false" ht="24" hidden="false" customHeight="false" outlineLevel="0" collapsed="false">
      <c r="A76" s="8" t="s">
        <v>90</v>
      </c>
      <c r="B76" s="8" t="s">
        <v>155</v>
      </c>
      <c r="C76" s="5" t="s">
        <v>91</v>
      </c>
      <c r="D76" s="17" t="n">
        <v>0.11</v>
      </c>
      <c r="E76" s="9" t="n">
        <f aca="false">D76*G76</f>
        <v>779.9</v>
      </c>
      <c r="F76" s="5" t="s">
        <v>93</v>
      </c>
      <c r="G76" s="4" t="n">
        <v>7090</v>
      </c>
    </row>
    <row r="77" customFormat="false" ht="24" hidden="false" customHeight="false" outlineLevel="0" collapsed="false">
      <c r="A77" s="8" t="s">
        <v>90</v>
      </c>
      <c r="B77" s="8" t="s">
        <v>156</v>
      </c>
      <c r="C77" s="5" t="s">
        <v>91</v>
      </c>
      <c r="D77" s="17" t="n">
        <v>0.22</v>
      </c>
      <c r="E77" s="9" t="n">
        <f aca="false">D77*G77</f>
        <v>1559.8</v>
      </c>
      <c r="F77" s="5" t="s">
        <v>93</v>
      </c>
      <c r="G77" s="4" t="n">
        <v>7090</v>
      </c>
    </row>
    <row r="78" customFormat="false" ht="24" hidden="false" customHeight="false" outlineLevel="0" collapsed="false">
      <c r="A78" s="8" t="s">
        <v>90</v>
      </c>
      <c r="B78" s="8" t="s">
        <v>157</v>
      </c>
      <c r="C78" s="5" t="s">
        <v>91</v>
      </c>
      <c r="D78" s="17" t="n">
        <v>0.05</v>
      </c>
      <c r="E78" s="9" t="n">
        <f aca="false">D78*G78</f>
        <v>354.5</v>
      </c>
      <c r="F78" s="5" t="s">
        <v>93</v>
      </c>
      <c r="G78" s="4" t="n">
        <v>7090</v>
      </c>
    </row>
    <row r="79" customFormat="false" ht="24" hidden="false" customHeight="false" outlineLevel="0" collapsed="false">
      <c r="A79" s="8" t="s">
        <v>90</v>
      </c>
      <c r="B79" s="8" t="s">
        <v>158</v>
      </c>
      <c r="C79" s="5" t="s">
        <v>91</v>
      </c>
      <c r="D79" s="17" t="n">
        <v>0.17</v>
      </c>
      <c r="E79" s="9" t="n">
        <f aca="false">D79*G79</f>
        <v>1205.3</v>
      </c>
      <c r="F79" s="5" t="s">
        <v>93</v>
      </c>
      <c r="G79" s="4" t="n">
        <v>7090</v>
      </c>
    </row>
    <row r="80" customFormat="false" ht="24" hidden="false" customHeight="false" outlineLevel="0" collapsed="false">
      <c r="A80" s="8" t="s">
        <v>90</v>
      </c>
      <c r="B80" s="8" t="s">
        <v>152</v>
      </c>
      <c r="C80" s="5" t="s">
        <v>91</v>
      </c>
      <c r="D80" s="17" t="n">
        <v>0.043</v>
      </c>
      <c r="E80" s="9" t="n">
        <f aca="false">D80*G80</f>
        <v>304.87</v>
      </c>
      <c r="F80" s="5" t="s">
        <v>94</v>
      </c>
      <c r="G80" s="4" t="n">
        <v>7090</v>
      </c>
    </row>
    <row r="81" customFormat="false" ht="24" hidden="false" customHeight="false" outlineLevel="0" collapsed="false">
      <c r="A81" s="8" t="s">
        <v>90</v>
      </c>
      <c r="B81" s="8" t="s">
        <v>160</v>
      </c>
      <c r="C81" s="5" t="s">
        <v>91</v>
      </c>
      <c r="D81" s="17" t="n">
        <v>0.087</v>
      </c>
      <c r="E81" s="9" t="n">
        <f aca="false">D81*G81</f>
        <v>616.83</v>
      </c>
      <c r="F81" s="5" t="s">
        <v>94</v>
      </c>
      <c r="G81" s="4" t="n">
        <v>7090</v>
      </c>
    </row>
    <row r="82" customFormat="false" ht="24" hidden="false" customHeight="false" outlineLevel="0" collapsed="false">
      <c r="A82" s="8" t="s">
        <v>90</v>
      </c>
      <c r="B82" s="8" t="s">
        <v>156</v>
      </c>
      <c r="C82" s="5" t="s">
        <v>91</v>
      </c>
      <c r="D82" s="17" t="n">
        <v>0.234</v>
      </c>
      <c r="E82" s="9" t="n">
        <f aca="false">D82*G82</f>
        <v>1659.06</v>
      </c>
      <c r="F82" s="5" t="s">
        <v>94</v>
      </c>
      <c r="G82" s="4" t="n">
        <v>7090</v>
      </c>
    </row>
    <row r="83" customFormat="false" ht="24" hidden="false" customHeight="false" outlineLevel="0" collapsed="false">
      <c r="A83" s="8" t="s">
        <v>90</v>
      </c>
      <c r="B83" s="8" t="s">
        <v>161</v>
      </c>
      <c r="C83" s="5" t="s">
        <v>91</v>
      </c>
      <c r="D83" s="17" t="n">
        <v>0.006</v>
      </c>
      <c r="E83" s="9" t="n">
        <f aca="false">D83*G83</f>
        <v>42.54</v>
      </c>
      <c r="F83" s="5" t="s">
        <v>94</v>
      </c>
      <c r="G83" s="4" t="n">
        <v>7090</v>
      </c>
    </row>
    <row r="84" customFormat="false" ht="24" hidden="false" customHeight="false" outlineLevel="0" collapsed="false">
      <c r="A84" s="8" t="s">
        <v>90</v>
      </c>
      <c r="B84" s="8" t="s">
        <v>162</v>
      </c>
      <c r="C84" s="5" t="s">
        <v>91</v>
      </c>
      <c r="D84" s="17" t="n">
        <v>0.036</v>
      </c>
      <c r="E84" s="9" t="n">
        <f aca="false">D84*G84</f>
        <v>255.24</v>
      </c>
      <c r="F84" s="5" t="s">
        <v>94</v>
      </c>
      <c r="G84" s="4" t="n">
        <v>7090</v>
      </c>
    </row>
    <row r="85" customFormat="false" ht="24" hidden="false" customHeight="false" outlineLevel="0" collapsed="false">
      <c r="A85" s="8" t="s">
        <v>90</v>
      </c>
      <c r="B85" s="8" t="s">
        <v>163</v>
      </c>
      <c r="C85" s="5" t="s">
        <v>91</v>
      </c>
      <c r="D85" s="17" t="n">
        <v>0.098</v>
      </c>
      <c r="E85" s="9" t="n">
        <f aca="false">D85*G85</f>
        <v>694.82</v>
      </c>
      <c r="F85" s="5" t="s">
        <v>94</v>
      </c>
      <c r="G85" s="4" t="n">
        <v>7090</v>
      </c>
    </row>
    <row r="86" customFormat="false" ht="24" hidden="false" customHeight="false" outlineLevel="0" collapsed="false">
      <c r="A86" s="8" t="s">
        <v>90</v>
      </c>
      <c r="B86" s="8" t="s">
        <v>165</v>
      </c>
      <c r="C86" s="5" t="s">
        <v>91</v>
      </c>
      <c r="D86" s="17" t="n">
        <v>0</v>
      </c>
      <c r="E86" s="9" t="n">
        <f aca="false">D86*G86</f>
        <v>0</v>
      </c>
      <c r="F86" s="5" t="s">
        <v>94</v>
      </c>
      <c r="G86" s="4" t="n">
        <v>7090</v>
      </c>
    </row>
    <row r="87" customFormat="false" ht="24" hidden="false" customHeight="false" outlineLevel="0" collapsed="false">
      <c r="A87" s="8" t="s">
        <v>90</v>
      </c>
      <c r="B87" s="8" t="s">
        <v>166</v>
      </c>
      <c r="C87" s="5" t="s">
        <v>91</v>
      </c>
      <c r="D87" s="17" t="n">
        <v>0.002</v>
      </c>
      <c r="E87" s="9" t="n">
        <f aca="false">D87*G87</f>
        <v>14.18</v>
      </c>
      <c r="F87" s="5" t="s">
        <v>94</v>
      </c>
      <c r="G87" s="4" t="n">
        <v>7090</v>
      </c>
    </row>
    <row r="88" customFormat="false" ht="24" hidden="false" customHeight="false" outlineLevel="0" collapsed="false">
      <c r="A88" s="8" t="s">
        <v>90</v>
      </c>
      <c r="B88" s="8" t="s">
        <v>167</v>
      </c>
      <c r="C88" s="5" t="s">
        <v>91</v>
      </c>
      <c r="D88" s="17" t="n">
        <v>0.073</v>
      </c>
      <c r="E88" s="9" t="n">
        <f aca="false">D88*G88</f>
        <v>517.57</v>
      </c>
      <c r="F88" s="5" t="s">
        <v>94</v>
      </c>
      <c r="G88" s="4" t="n">
        <v>7090</v>
      </c>
    </row>
    <row r="89" customFormat="false" ht="24" hidden="false" customHeight="false" outlineLevel="0" collapsed="false">
      <c r="A89" s="8" t="s">
        <v>90</v>
      </c>
      <c r="B89" s="8" t="s">
        <v>168</v>
      </c>
      <c r="C89" s="5" t="s">
        <v>91</v>
      </c>
      <c r="D89" s="17" t="n">
        <v>0.01</v>
      </c>
      <c r="E89" s="9" t="n">
        <f aca="false">D89*G89</f>
        <v>70.9</v>
      </c>
      <c r="F89" s="5" t="s">
        <v>94</v>
      </c>
      <c r="G89" s="4" t="n">
        <v>7090</v>
      </c>
    </row>
    <row r="90" customFormat="false" ht="24" hidden="false" customHeight="false" outlineLevel="0" collapsed="false">
      <c r="A90" s="8" t="s">
        <v>90</v>
      </c>
      <c r="B90" s="8" t="s">
        <v>169</v>
      </c>
      <c r="C90" s="5" t="s">
        <v>91</v>
      </c>
      <c r="D90" s="17" t="n">
        <v>0.003</v>
      </c>
      <c r="E90" s="9" t="n">
        <f aca="false">D90*G90</f>
        <v>21.27</v>
      </c>
      <c r="F90" s="5" t="s">
        <v>94</v>
      </c>
      <c r="G90" s="4" t="n">
        <v>7090</v>
      </c>
    </row>
    <row r="91" customFormat="false" ht="24" hidden="false" customHeight="false" outlineLevel="0" collapsed="false">
      <c r="A91" s="8" t="s">
        <v>90</v>
      </c>
      <c r="B91" s="8" t="s">
        <v>152</v>
      </c>
      <c r="C91" s="5" t="s">
        <v>95</v>
      </c>
      <c r="D91" s="17" t="n">
        <v>0.05</v>
      </c>
      <c r="E91" s="9" t="n">
        <f aca="false">D91*G91</f>
        <v>368</v>
      </c>
      <c r="F91" s="5" t="s">
        <v>93</v>
      </c>
      <c r="G91" s="4" t="n">
        <v>7360</v>
      </c>
    </row>
    <row r="92" customFormat="false" ht="24" hidden="false" customHeight="false" outlineLevel="0" collapsed="false">
      <c r="A92" s="8" t="s">
        <v>90</v>
      </c>
      <c r="B92" s="8" t="s">
        <v>155</v>
      </c>
      <c r="C92" s="5" t="s">
        <v>95</v>
      </c>
      <c r="D92" s="17" t="n">
        <v>0.14</v>
      </c>
      <c r="E92" s="9" t="n">
        <f aca="false">D92*G92</f>
        <v>1030.4</v>
      </c>
      <c r="F92" s="5" t="s">
        <v>93</v>
      </c>
      <c r="G92" s="4" t="n">
        <v>7360</v>
      </c>
    </row>
    <row r="93" customFormat="false" ht="24" hidden="false" customHeight="false" outlineLevel="0" collapsed="false">
      <c r="A93" s="8" t="s">
        <v>90</v>
      </c>
      <c r="B93" s="8" t="s">
        <v>156</v>
      </c>
      <c r="C93" s="5" t="s">
        <v>95</v>
      </c>
      <c r="D93" s="17" t="n">
        <v>0.22</v>
      </c>
      <c r="E93" s="9" t="n">
        <f aca="false">D93*G93</f>
        <v>1619.2</v>
      </c>
      <c r="F93" s="5" t="s">
        <v>93</v>
      </c>
      <c r="G93" s="4" t="n">
        <v>7360</v>
      </c>
    </row>
    <row r="94" customFormat="false" ht="24" hidden="false" customHeight="false" outlineLevel="0" collapsed="false">
      <c r="A94" s="8" t="s">
        <v>90</v>
      </c>
      <c r="B94" s="8" t="s">
        <v>157</v>
      </c>
      <c r="C94" s="5" t="s">
        <v>95</v>
      </c>
      <c r="D94" s="17" t="n">
        <v>0.05</v>
      </c>
      <c r="E94" s="9" t="n">
        <f aca="false">D94*G94</f>
        <v>368</v>
      </c>
      <c r="F94" s="5" t="s">
        <v>93</v>
      </c>
      <c r="G94" s="4" t="n">
        <v>7360</v>
      </c>
    </row>
    <row r="95" customFormat="false" ht="24" hidden="false" customHeight="false" outlineLevel="0" collapsed="false">
      <c r="A95" s="8" t="s">
        <v>90</v>
      </c>
      <c r="B95" s="8" t="s">
        <v>158</v>
      </c>
      <c r="C95" s="5" t="s">
        <v>95</v>
      </c>
      <c r="D95" s="17" t="n">
        <v>0.19</v>
      </c>
      <c r="E95" s="9" t="n">
        <f aca="false">D95*G95</f>
        <v>1398.4</v>
      </c>
      <c r="F95" s="5" t="s">
        <v>93</v>
      </c>
      <c r="G95" s="4" t="n">
        <v>7360</v>
      </c>
    </row>
    <row r="96" customFormat="false" ht="24" hidden="false" customHeight="false" outlineLevel="0" collapsed="false">
      <c r="A96" s="8" t="s">
        <v>90</v>
      </c>
      <c r="B96" s="8" t="s">
        <v>152</v>
      </c>
      <c r="C96" s="5" t="s">
        <v>95</v>
      </c>
      <c r="D96" s="17" t="n">
        <v>0.044</v>
      </c>
      <c r="E96" s="9" t="n">
        <f aca="false">D96*G96</f>
        <v>323.84</v>
      </c>
      <c r="F96" s="5" t="s">
        <v>94</v>
      </c>
      <c r="G96" s="4" t="n">
        <v>7360</v>
      </c>
    </row>
    <row r="97" customFormat="false" ht="24" hidden="false" customHeight="false" outlineLevel="0" collapsed="false">
      <c r="A97" s="8" t="s">
        <v>90</v>
      </c>
      <c r="B97" s="8" t="s">
        <v>160</v>
      </c>
      <c r="C97" s="5" t="s">
        <v>95</v>
      </c>
      <c r="D97" s="17" t="n">
        <v>0.084</v>
      </c>
      <c r="E97" s="9" t="n">
        <f aca="false">D97*G97</f>
        <v>618.24</v>
      </c>
      <c r="F97" s="5" t="s">
        <v>94</v>
      </c>
      <c r="G97" s="4" t="n">
        <v>7360</v>
      </c>
    </row>
    <row r="98" customFormat="false" ht="24" hidden="false" customHeight="false" outlineLevel="0" collapsed="false">
      <c r="A98" s="8" t="s">
        <v>90</v>
      </c>
      <c r="B98" s="8" t="s">
        <v>156</v>
      </c>
      <c r="C98" s="5" t="s">
        <v>95</v>
      </c>
      <c r="D98" s="17" t="n">
        <v>0.227</v>
      </c>
      <c r="E98" s="9" t="n">
        <f aca="false">D98*G98</f>
        <v>1670.72</v>
      </c>
      <c r="F98" s="5" t="s">
        <v>94</v>
      </c>
      <c r="G98" s="4" t="n">
        <v>7360</v>
      </c>
    </row>
    <row r="99" customFormat="false" ht="24" hidden="false" customHeight="false" outlineLevel="0" collapsed="false">
      <c r="A99" s="8" t="s">
        <v>90</v>
      </c>
      <c r="B99" s="8" t="s">
        <v>161</v>
      </c>
      <c r="C99" s="5" t="s">
        <v>95</v>
      </c>
      <c r="D99" s="17" t="n">
        <v>0.01</v>
      </c>
      <c r="E99" s="9" t="n">
        <f aca="false">D99*G99</f>
        <v>73.6</v>
      </c>
      <c r="F99" s="5" t="s">
        <v>94</v>
      </c>
      <c r="G99" s="4" t="n">
        <v>7360</v>
      </c>
    </row>
    <row r="100" customFormat="false" ht="24" hidden="false" customHeight="false" outlineLevel="0" collapsed="false">
      <c r="A100" s="8" t="s">
        <v>90</v>
      </c>
      <c r="B100" s="8" t="s">
        <v>162</v>
      </c>
      <c r="C100" s="5" t="s">
        <v>95</v>
      </c>
      <c r="D100" s="17" t="n">
        <v>0.035</v>
      </c>
      <c r="E100" s="9" t="n">
        <f aca="false">D100*G100</f>
        <v>257.6</v>
      </c>
      <c r="F100" s="5" t="s">
        <v>94</v>
      </c>
      <c r="G100" s="4" t="n">
        <v>7360</v>
      </c>
    </row>
    <row r="101" customFormat="false" ht="24" hidden="false" customHeight="false" outlineLevel="0" collapsed="false">
      <c r="A101" s="8" t="s">
        <v>90</v>
      </c>
      <c r="B101" s="8" t="s">
        <v>163</v>
      </c>
      <c r="C101" s="5" t="s">
        <v>95</v>
      </c>
      <c r="D101" s="17" t="n">
        <v>0.171</v>
      </c>
      <c r="E101" s="9" t="n">
        <f aca="false">D101*G101</f>
        <v>1258.56</v>
      </c>
      <c r="F101" s="5" t="s">
        <v>94</v>
      </c>
      <c r="G101" s="4" t="n">
        <v>7360</v>
      </c>
    </row>
    <row r="102" customFormat="false" ht="24" hidden="false" customHeight="false" outlineLevel="0" collapsed="false">
      <c r="A102" s="8" t="s">
        <v>90</v>
      </c>
      <c r="B102" s="8" t="s">
        <v>165</v>
      </c>
      <c r="C102" s="5" t="s">
        <v>95</v>
      </c>
      <c r="D102" s="17" t="n">
        <v>0</v>
      </c>
      <c r="E102" s="9" t="n">
        <f aca="false">D102*G102</f>
        <v>0</v>
      </c>
      <c r="F102" s="5" t="s">
        <v>94</v>
      </c>
      <c r="G102" s="4" t="n">
        <v>7360</v>
      </c>
    </row>
    <row r="103" customFormat="false" ht="24" hidden="false" customHeight="false" outlineLevel="0" collapsed="false">
      <c r="A103" s="8" t="s">
        <v>90</v>
      </c>
      <c r="B103" s="8" t="s">
        <v>166</v>
      </c>
      <c r="C103" s="5" t="s">
        <v>95</v>
      </c>
      <c r="D103" s="17" t="n">
        <v>0.003</v>
      </c>
      <c r="E103" s="9" t="n">
        <f aca="false">D103*G103</f>
        <v>22.08</v>
      </c>
      <c r="F103" s="5" t="s">
        <v>94</v>
      </c>
      <c r="G103" s="4" t="n">
        <v>7360</v>
      </c>
    </row>
    <row r="104" customFormat="false" ht="24" hidden="false" customHeight="false" outlineLevel="0" collapsed="false">
      <c r="A104" s="8" t="s">
        <v>90</v>
      </c>
      <c r="B104" s="8" t="s">
        <v>167</v>
      </c>
      <c r="C104" s="5" t="s">
        <v>95</v>
      </c>
      <c r="D104" s="17" t="n">
        <v>0.06</v>
      </c>
      <c r="E104" s="9" t="n">
        <f aca="false">D104*G104</f>
        <v>441.6</v>
      </c>
      <c r="F104" s="5" t="s">
        <v>94</v>
      </c>
      <c r="G104" s="4" t="n">
        <v>7360</v>
      </c>
    </row>
    <row r="105" customFormat="false" ht="24" hidden="false" customHeight="false" outlineLevel="0" collapsed="false">
      <c r="A105" s="8" t="s">
        <v>90</v>
      </c>
      <c r="B105" s="8" t="s">
        <v>168</v>
      </c>
      <c r="C105" s="5" t="s">
        <v>95</v>
      </c>
      <c r="D105" s="17" t="n">
        <v>0.009</v>
      </c>
      <c r="E105" s="9" t="n">
        <f aca="false">D105*G105</f>
        <v>66.24</v>
      </c>
      <c r="F105" s="5" t="s">
        <v>94</v>
      </c>
      <c r="G105" s="4" t="n">
        <v>7360</v>
      </c>
    </row>
    <row r="106" customFormat="false" ht="24" hidden="false" customHeight="false" outlineLevel="0" collapsed="false">
      <c r="A106" s="8" t="s">
        <v>90</v>
      </c>
      <c r="B106" s="8" t="s">
        <v>169</v>
      </c>
      <c r="C106" s="5" t="s">
        <v>95</v>
      </c>
      <c r="D106" s="17" t="n">
        <v>0.005</v>
      </c>
      <c r="E106" s="9" t="n">
        <f aca="false">D106*G106</f>
        <v>36.8</v>
      </c>
      <c r="F106" s="5" t="s">
        <v>94</v>
      </c>
      <c r="G106" s="4" t="n">
        <v>7360</v>
      </c>
    </row>
    <row r="107" customFormat="false" ht="24" hidden="false" customHeight="false" outlineLevel="0" collapsed="false">
      <c r="A107" s="8" t="s">
        <v>90</v>
      </c>
      <c r="B107" s="8" t="s">
        <v>152</v>
      </c>
      <c r="C107" s="5" t="s">
        <v>172</v>
      </c>
      <c r="D107" s="17" t="n">
        <v>0.1</v>
      </c>
      <c r="E107" s="9" t="n">
        <f aca="false">D107*G107</f>
        <v>322.2</v>
      </c>
      <c r="F107" s="5" t="s">
        <v>93</v>
      </c>
      <c r="G107" s="4" t="n">
        <v>3222</v>
      </c>
    </row>
    <row r="108" customFormat="false" ht="24" hidden="false" customHeight="false" outlineLevel="0" collapsed="false">
      <c r="A108" s="8" t="s">
        <v>90</v>
      </c>
      <c r="B108" s="8" t="s">
        <v>155</v>
      </c>
      <c r="C108" s="5" t="s">
        <v>172</v>
      </c>
      <c r="D108" s="17" t="n">
        <v>0.13</v>
      </c>
      <c r="E108" s="9" t="n">
        <f aca="false">D108*G108</f>
        <v>418.86</v>
      </c>
      <c r="F108" s="5" t="s">
        <v>93</v>
      </c>
      <c r="G108" s="4" t="n">
        <v>3222</v>
      </c>
    </row>
    <row r="109" customFormat="false" ht="24" hidden="false" customHeight="false" outlineLevel="0" collapsed="false">
      <c r="A109" s="8" t="s">
        <v>90</v>
      </c>
      <c r="B109" s="8" t="s">
        <v>156</v>
      </c>
      <c r="C109" s="5" t="s">
        <v>172</v>
      </c>
      <c r="D109" s="17" t="n">
        <v>0.15</v>
      </c>
      <c r="E109" s="9" t="n">
        <f aca="false">D109*G109</f>
        <v>483.3</v>
      </c>
      <c r="F109" s="5" t="s">
        <v>93</v>
      </c>
      <c r="G109" s="4" t="n">
        <v>3222</v>
      </c>
    </row>
    <row r="110" customFormat="false" ht="24" hidden="false" customHeight="false" outlineLevel="0" collapsed="false">
      <c r="A110" s="8" t="s">
        <v>90</v>
      </c>
      <c r="B110" s="8" t="s">
        <v>157</v>
      </c>
      <c r="C110" s="5" t="s">
        <v>172</v>
      </c>
      <c r="D110" s="17" t="n">
        <v>0.04</v>
      </c>
      <c r="E110" s="9" t="n">
        <f aca="false">D110*G110</f>
        <v>128.88</v>
      </c>
      <c r="F110" s="5" t="s">
        <v>93</v>
      </c>
      <c r="G110" s="4" t="n">
        <v>3222</v>
      </c>
    </row>
    <row r="111" customFormat="false" ht="24" hidden="false" customHeight="false" outlineLevel="0" collapsed="false">
      <c r="A111" s="8" t="s">
        <v>90</v>
      </c>
      <c r="B111" s="8" t="s">
        <v>158</v>
      </c>
      <c r="C111" s="5" t="s">
        <v>172</v>
      </c>
      <c r="D111" s="17" t="n">
        <v>0.18</v>
      </c>
      <c r="E111" s="9" t="n">
        <f aca="false">D111*G111</f>
        <v>579.96</v>
      </c>
      <c r="F111" s="5" t="s">
        <v>93</v>
      </c>
      <c r="G111" s="4" t="n">
        <v>3222</v>
      </c>
    </row>
    <row r="112" customFormat="false" ht="24" hidden="false" customHeight="false" outlineLevel="0" collapsed="false">
      <c r="A112" s="8" t="s">
        <v>90</v>
      </c>
      <c r="B112" s="8" t="s">
        <v>152</v>
      </c>
      <c r="C112" s="5" t="s">
        <v>172</v>
      </c>
      <c r="D112" s="17" t="n">
        <v>0.099</v>
      </c>
      <c r="E112" s="9" t="n">
        <f aca="false">D112*G112</f>
        <v>318.978</v>
      </c>
      <c r="F112" s="5" t="s">
        <v>94</v>
      </c>
      <c r="G112" s="4" t="n">
        <v>3222</v>
      </c>
    </row>
    <row r="113" customFormat="false" ht="24" hidden="false" customHeight="false" outlineLevel="0" collapsed="false">
      <c r="A113" s="8" t="s">
        <v>90</v>
      </c>
      <c r="B113" s="8" t="s">
        <v>160</v>
      </c>
      <c r="C113" s="5" t="s">
        <v>172</v>
      </c>
      <c r="D113" s="17" t="n">
        <v>0.118</v>
      </c>
      <c r="E113" s="9" t="n">
        <f aca="false">D113*G113</f>
        <v>380.196</v>
      </c>
      <c r="F113" s="5" t="s">
        <v>94</v>
      </c>
      <c r="G113" s="4" t="n">
        <v>3222</v>
      </c>
    </row>
    <row r="114" customFormat="false" ht="24" hidden="false" customHeight="false" outlineLevel="0" collapsed="false">
      <c r="A114" s="8" t="s">
        <v>90</v>
      </c>
      <c r="B114" s="8" t="s">
        <v>156</v>
      </c>
      <c r="C114" s="5" t="s">
        <v>172</v>
      </c>
      <c r="D114" s="17" t="n">
        <v>0.147</v>
      </c>
      <c r="E114" s="9" t="n">
        <f aca="false">D114*G114</f>
        <v>473.634</v>
      </c>
      <c r="F114" s="5" t="s">
        <v>94</v>
      </c>
      <c r="G114" s="4" t="n">
        <v>3222</v>
      </c>
    </row>
    <row r="115" customFormat="false" ht="24" hidden="false" customHeight="false" outlineLevel="0" collapsed="false">
      <c r="A115" s="8" t="s">
        <v>90</v>
      </c>
      <c r="B115" s="8" t="s">
        <v>161</v>
      </c>
      <c r="C115" s="5" t="s">
        <v>172</v>
      </c>
      <c r="D115" s="17" t="n">
        <v>0.01</v>
      </c>
      <c r="E115" s="9" t="n">
        <f aca="false">D115*G115</f>
        <v>32.22</v>
      </c>
      <c r="F115" s="5" t="s">
        <v>94</v>
      </c>
      <c r="G115" s="4" t="n">
        <v>3222</v>
      </c>
    </row>
    <row r="116" customFormat="false" ht="24" hidden="false" customHeight="false" outlineLevel="0" collapsed="false">
      <c r="A116" s="8" t="s">
        <v>90</v>
      </c>
      <c r="B116" s="8" t="s">
        <v>162</v>
      </c>
      <c r="C116" s="5" t="s">
        <v>172</v>
      </c>
      <c r="D116" s="17" t="n">
        <v>0.068</v>
      </c>
      <c r="E116" s="9" t="n">
        <f aca="false">D116*G116</f>
        <v>219.096</v>
      </c>
      <c r="F116" s="5" t="s">
        <v>94</v>
      </c>
      <c r="G116" s="4" t="n">
        <v>3222</v>
      </c>
    </row>
    <row r="117" customFormat="false" ht="24" hidden="false" customHeight="false" outlineLevel="0" collapsed="false">
      <c r="A117" s="8" t="s">
        <v>90</v>
      </c>
      <c r="B117" s="8" t="s">
        <v>163</v>
      </c>
      <c r="C117" s="5" t="s">
        <v>172</v>
      </c>
      <c r="D117" s="17" t="n">
        <v>0.057</v>
      </c>
      <c r="E117" s="9" t="n">
        <f aca="false">D117*G117</f>
        <v>183.654</v>
      </c>
      <c r="F117" s="5" t="s">
        <v>94</v>
      </c>
      <c r="G117" s="4" t="n">
        <v>3222</v>
      </c>
    </row>
    <row r="118" customFormat="false" ht="24" hidden="false" customHeight="false" outlineLevel="0" collapsed="false">
      <c r="A118" s="8" t="s">
        <v>90</v>
      </c>
      <c r="B118" s="8" t="s">
        <v>165</v>
      </c>
      <c r="C118" s="5" t="s">
        <v>172</v>
      </c>
      <c r="D118" s="17" t="n">
        <v>0</v>
      </c>
      <c r="E118" s="9" t="n">
        <f aca="false">D118*G118</f>
        <v>0</v>
      </c>
      <c r="F118" s="5" t="s">
        <v>94</v>
      </c>
      <c r="G118" s="4" t="n">
        <v>3222</v>
      </c>
    </row>
    <row r="119" customFormat="false" ht="24" hidden="false" customHeight="false" outlineLevel="0" collapsed="false">
      <c r="A119" s="8" t="s">
        <v>90</v>
      </c>
      <c r="B119" s="8" t="s">
        <v>166</v>
      </c>
      <c r="C119" s="5" t="s">
        <v>172</v>
      </c>
      <c r="D119" s="17" t="n">
        <v>0.002</v>
      </c>
      <c r="E119" s="9" t="n">
        <f aca="false">D119*G119</f>
        <v>6.444</v>
      </c>
      <c r="F119" s="5" t="s">
        <v>94</v>
      </c>
      <c r="G119" s="4" t="n">
        <v>3222</v>
      </c>
    </row>
    <row r="120" customFormat="false" ht="24" hidden="false" customHeight="false" outlineLevel="0" collapsed="false">
      <c r="A120" s="8" t="s">
        <v>90</v>
      </c>
      <c r="B120" s="8" t="s">
        <v>167</v>
      </c>
      <c r="C120" s="5" t="s">
        <v>172</v>
      </c>
      <c r="D120" s="17" t="n">
        <v>0.062</v>
      </c>
      <c r="E120" s="9" t="n">
        <f aca="false">D120*G120</f>
        <v>199.764</v>
      </c>
      <c r="F120" s="5" t="s">
        <v>94</v>
      </c>
      <c r="G120" s="4" t="n">
        <v>3222</v>
      </c>
    </row>
    <row r="121" customFormat="false" ht="24" hidden="false" customHeight="false" outlineLevel="0" collapsed="false">
      <c r="A121" s="8" t="s">
        <v>90</v>
      </c>
      <c r="B121" s="8" t="s">
        <v>168</v>
      </c>
      <c r="C121" s="5" t="s">
        <v>172</v>
      </c>
      <c r="D121" s="17" t="n">
        <v>0.032</v>
      </c>
      <c r="E121" s="9" t="n">
        <f aca="false">D121*G121</f>
        <v>103.104</v>
      </c>
      <c r="F121" s="5" t="s">
        <v>94</v>
      </c>
      <c r="G121" s="4" t="n">
        <v>3222</v>
      </c>
    </row>
    <row r="122" customFormat="false" ht="24" hidden="false" customHeight="false" outlineLevel="0" collapsed="false">
      <c r="A122" s="8" t="s">
        <v>90</v>
      </c>
      <c r="B122" s="8" t="s">
        <v>169</v>
      </c>
      <c r="C122" s="5" t="s">
        <v>172</v>
      </c>
      <c r="D122" s="17" t="n">
        <v>0.004</v>
      </c>
      <c r="E122" s="9" t="n">
        <f aca="false">D122*G122</f>
        <v>12.888</v>
      </c>
      <c r="F122" s="5" t="s">
        <v>94</v>
      </c>
      <c r="G122" s="4" t="n">
        <v>3222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2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4" width="24.67"/>
  </cols>
  <sheetData>
    <row r="1" customFormat="false" ht="15.8" hidden="false" customHeight="false" outlineLevel="0" collapsed="false">
      <c r="A1" s="38" t="s">
        <v>336</v>
      </c>
      <c r="B1" s="38"/>
      <c r="C1" s="38"/>
      <c r="D1" s="38"/>
      <c r="E1" s="38"/>
      <c r="F1" s="39"/>
      <c r="G1" s="39"/>
      <c r="H1" s="39"/>
      <c r="I1" s="39"/>
      <c r="J1" s="38"/>
      <c r="K1" s="38"/>
      <c r="L1" s="38"/>
      <c r="M1" s="38"/>
      <c r="N1" s="38"/>
      <c r="O1" s="38"/>
      <c r="P1" s="38" t="s">
        <v>337</v>
      </c>
      <c r="Q1" s="38"/>
      <c r="R1" s="38"/>
      <c r="S1" s="38"/>
      <c r="T1" s="39"/>
      <c r="U1" s="39"/>
      <c r="V1" s="39"/>
      <c r="W1" s="39"/>
      <c r="X1" s="38"/>
      <c r="Y1" s="38"/>
      <c r="Z1" s="38"/>
      <c r="AA1" s="38"/>
      <c r="AB1" s="38"/>
      <c r="AC1" s="38"/>
      <c r="AD1" s="38"/>
      <c r="AE1" s="38"/>
      <c r="AF1" s="38"/>
      <c r="AG1" s="38"/>
      <c r="AH1" s="38"/>
      <c r="AI1" s="38"/>
      <c r="AJ1" s="38"/>
      <c r="AK1" s="38" t="s">
        <v>338</v>
      </c>
      <c r="AL1" s="38"/>
    </row>
    <row r="2" customFormat="false" ht="49.4" hidden="false" customHeight="false" outlineLevel="0" collapsed="false">
      <c r="A2" s="18" t="s">
        <v>339</v>
      </c>
      <c r="B2" s="18" t="s">
        <v>340</v>
      </c>
      <c r="C2" s="18" t="s">
        <v>176</v>
      </c>
      <c r="D2" s="18" t="s">
        <v>180</v>
      </c>
      <c r="E2" s="18" t="s">
        <v>341</v>
      </c>
      <c r="F2" s="40" t="s">
        <v>178</v>
      </c>
      <c r="G2" s="40" t="s">
        <v>179</v>
      </c>
      <c r="H2" s="40" t="s">
        <v>182</v>
      </c>
      <c r="I2" s="40" t="s">
        <v>173</v>
      </c>
      <c r="J2" s="18" t="s">
        <v>175</v>
      </c>
      <c r="K2" s="18" t="s">
        <v>342</v>
      </c>
      <c r="L2" s="18" t="s">
        <v>343</v>
      </c>
      <c r="M2" s="18" t="s">
        <v>344</v>
      </c>
      <c r="N2" s="41" t="s">
        <v>345</v>
      </c>
      <c r="O2" s="42"/>
      <c r="P2" s="18" t="s">
        <v>340</v>
      </c>
      <c r="Q2" s="18" t="s">
        <v>176</v>
      </c>
      <c r="R2" s="18" t="s">
        <v>180</v>
      </c>
      <c r="S2" s="18" t="s">
        <v>341</v>
      </c>
      <c r="T2" s="40" t="s">
        <v>178</v>
      </c>
      <c r="U2" s="40" t="s">
        <v>179</v>
      </c>
      <c r="V2" s="40" t="s">
        <v>182</v>
      </c>
      <c r="W2" s="40" t="s">
        <v>173</v>
      </c>
      <c r="X2" s="18" t="s">
        <v>175</v>
      </c>
      <c r="Y2" s="18" t="s">
        <v>342</v>
      </c>
      <c r="Z2" s="18" t="s">
        <v>343</v>
      </c>
      <c r="AA2" s="18" t="s">
        <v>344</v>
      </c>
      <c r="AB2" s="41" t="s">
        <v>345</v>
      </c>
      <c r="AC2" s="42"/>
      <c r="AD2" s="18" t="s">
        <v>346</v>
      </c>
      <c r="AE2" s="18" t="s">
        <v>347</v>
      </c>
      <c r="AF2" s="18" t="s">
        <v>348</v>
      </c>
      <c r="AG2" s="18" t="s">
        <v>349</v>
      </c>
      <c r="AH2" s="18" t="s">
        <v>350</v>
      </c>
      <c r="AI2" s="18" t="s">
        <v>351</v>
      </c>
      <c r="AJ2" s="42"/>
      <c r="AK2" s="18"/>
      <c r="AL2" s="41" t="s">
        <v>352</v>
      </c>
    </row>
    <row r="3" customFormat="false" ht="15.8" hidden="false" customHeight="false" outlineLevel="0" collapsed="false">
      <c r="A3" s="4" t="s">
        <v>353</v>
      </c>
      <c r="B3" s="4" t="s">
        <v>354</v>
      </c>
      <c r="C3" s="4" t="n">
        <v>615</v>
      </c>
      <c r="D3" s="4" t="n">
        <v>255</v>
      </c>
      <c r="E3" s="4" t="n">
        <v>146</v>
      </c>
      <c r="F3" s="4" t="n">
        <v>41</v>
      </c>
      <c r="G3" s="4" t="n">
        <v>21</v>
      </c>
      <c r="H3" s="4" t="n">
        <v>22</v>
      </c>
      <c r="I3" s="4" t="n">
        <v>45</v>
      </c>
      <c r="J3" s="4" t="n">
        <v>0</v>
      </c>
      <c r="K3" s="4" t="n">
        <v>0</v>
      </c>
      <c r="L3" s="4" t="n">
        <v>0</v>
      </c>
      <c r="M3" s="4" t="n">
        <v>0</v>
      </c>
      <c r="P3" s="4" t="s">
        <v>355</v>
      </c>
      <c r="Q3" s="4" t="s">
        <v>356</v>
      </c>
      <c r="R3" s="4" t="s">
        <v>357</v>
      </c>
      <c r="S3" s="4" t="n">
        <v>813</v>
      </c>
      <c r="T3" s="4" t="n">
        <v>228</v>
      </c>
      <c r="U3" s="4" t="n">
        <v>118</v>
      </c>
      <c r="V3" s="4" t="n">
        <v>122</v>
      </c>
      <c r="W3" s="4" t="n">
        <v>250</v>
      </c>
      <c r="X3" s="4" t="n">
        <v>0</v>
      </c>
      <c r="Y3" s="4" t="n">
        <v>0</v>
      </c>
      <c r="Z3" s="4" t="n">
        <v>0</v>
      </c>
      <c r="AA3" s="4" t="n">
        <v>0</v>
      </c>
      <c r="AE3" s="4" t="s">
        <v>358</v>
      </c>
      <c r="AF3" s="4" t="s">
        <v>359</v>
      </c>
      <c r="AG3" s="4" t="s">
        <v>360</v>
      </c>
      <c r="AH3" s="4" t="s">
        <v>361</v>
      </c>
      <c r="AI3" s="4" t="s">
        <v>2</v>
      </c>
      <c r="AK3" s="4" t="s">
        <v>362</v>
      </c>
    </row>
    <row r="4" customFormat="false" ht="15.8" hidden="false" customHeight="false" outlineLevel="0" collapsed="false">
      <c r="A4" s="4" t="s">
        <v>363</v>
      </c>
      <c r="B4" s="4" t="n">
        <v>241</v>
      </c>
      <c r="C4" s="4" t="n">
        <v>0</v>
      </c>
      <c r="D4" s="4" t="n">
        <v>0</v>
      </c>
      <c r="E4" s="4" t="n">
        <v>241</v>
      </c>
      <c r="F4" s="4" t="n">
        <v>115</v>
      </c>
      <c r="G4" s="4" t="n">
        <v>50</v>
      </c>
      <c r="H4" s="4" t="n">
        <v>28</v>
      </c>
      <c r="I4" s="4" t="n">
        <v>30</v>
      </c>
      <c r="J4" s="4" t="n">
        <v>32</v>
      </c>
      <c r="K4" s="4" t="n">
        <v>0</v>
      </c>
      <c r="L4" s="4" t="n">
        <v>0</v>
      </c>
      <c r="M4" s="4" t="n">
        <v>0</v>
      </c>
      <c r="P4" s="4" t="s">
        <v>364</v>
      </c>
      <c r="Q4" s="4" t="n">
        <v>0</v>
      </c>
      <c r="R4" s="4" t="n">
        <v>0</v>
      </c>
      <c r="S4" s="4" t="s">
        <v>364</v>
      </c>
      <c r="T4" s="4" t="n">
        <v>871</v>
      </c>
      <c r="U4" s="4" t="n">
        <v>378</v>
      </c>
      <c r="V4" s="4" t="n">
        <v>216</v>
      </c>
      <c r="W4" s="4" t="n">
        <v>228</v>
      </c>
      <c r="X4" s="4" t="n">
        <v>0</v>
      </c>
      <c r="Y4" s="4" t="n">
        <v>0</v>
      </c>
      <c r="Z4" s="4" t="n">
        <v>0</v>
      </c>
      <c r="AA4" s="4" t="n">
        <v>0</v>
      </c>
      <c r="AE4" s="4" t="s">
        <v>365</v>
      </c>
      <c r="AF4" s="4" t="s">
        <v>366</v>
      </c>
      <c r="AG4" s="4" t="s">
        <v>367</v>
      </c>
      <c r="AH4" s="4" t="s">
        <v>367</v>
      </c>
      <c r="AI4" s="4" t="s">
        <v>2</v>
      </c>
      <c r="AK4" s="4" t="s">
        <v>368</v>
      </c>
    </row>
    <row r="5" customFormat="false" ht="15.8" hidden="false" customHeight="false" outlineLevel="0" collapsed="false">
      <c r="A5" s="4" t="s">
        <v>369</v>
      </c>
      <c r="B5" s="4" t="s">
        <v>370</v>
      </c>
      <c r="C5" s="4" t="n">
        <v>125</v>
      </c>
      <c r="D5" s="4" t="n">
        <v>851</v>
      </c>
      <c r="E5" s="4" t="s">
        <v>371</v>
      </c>
      <c r="F5" s="4" t="n">
        <v>344</v>
      </c>
      <c r="G5" s="4" t="n">
        <v>143</v>
      </c>
      <c r="H5" s="4" t="n">
        <v>122</v>
      </c>
      <c r="I5" s="4" t="n">
        <v>142</v>
      </c>
      <c r="J5" s="4" t="n">
        <v>0</v>
      </c>
      <c r="K5" s="4" t="n">
        <v>0</v>
      </c>
      <c r="L5" s="4" t="n">
        <v>0</v>
      </c>
      <c r="M5" s="4" t="n">
        <v>0</v>
      </c>
      <c r="P5" s="4" t="s">
        <v>372</v>
      </c>
      <c r="Q5" s="4" t="n">
        <v>181</v>
      </c>
      <c r="R5" s="4" t="s">
        <v>373</v>
      </c>
      <c r="S5" s="4" t="s">
        <v>374</v>
      </c>
      <c r="T5" s="4" t="n">
        <v>499</v>
      </c>
      <c r="U5" s="4" t="n">
        <v>207</v>
      </c>
      <c r="V5" s="4" t="n">
        <v>177</v>
      </c>
      <c r="W5" s="4" t="n">
        <v>206</v>
      </c>
      <c r="X5" s="4" t="n">
        <v>0</v>
      </c>
      <c r="Y5" s="4" t="n">
        <v>0</v>
      </c>
      <c r="Z5" s="4" t="n">
        <v>0</v>
      </c>
      <c r="AA5" s="4" t="n">
        <v>0</v>
      </c>
      <c r="AE5" s="4" t="s">
        <v>375</v>
      </c>
      <c r="AF5" s="4" t="s">
        <v>359</v>
      </c>
      <c r="AG5" s="4" t="s">
        <v>367</v>
      </c>
      <c r="AH5" s="4" t="s">
        <v>367</v>
      </c>
      <c r="AI5" s="4" t="s">
        <v>2</v>
      </c>
      <c r="AK5" s="4" t="s">
        <v>376</v>
      </c>
    </row>
    <row r="6" customFormat="false" ht="15.8" hidden="false" customHeight="false" outlineLevel="0" collapsed="false"/>
    <row r="7" customFormat="false" ht="15.8" hidden="false" customHeight="false" outlineLevel="0" collapsed="false"/>
    <row r="13" customFormat="false" ht="15.8" hidden="false" customHeight="false" outlineLevel="0" collapsed="false">
      <c r="C13" s="18" t="s">
        <v>339</v>
      </c>
      <c r="D13" s="4" t="s">
        <v>353</v>
      </c>
      <c r="E13" s="4" t="s">
        <v>363</v>
      </c>
    </row>
    <row r="14" customFormat="false" ht="13.8" hidden="false" customHeight="false" outlineLevel="0" collapsed="false">
      <c r="C14" s="18" t="s">
        <v>340</v>
      </c>
      <c r="D14" s="4" t="s">
        <v>354</v>
      </c>
      <c r="E14" s="4" t="n">
        <v>241</v>
      </c>
      <c r="H14" s="4" t="s">
        <v>353</v>
      </c>
      <c r="I14" s="4" t="s">
        <v>363</v>
      </c>
    </row>
    <row r="15" customFormat="false" ht="37.75" hidden="false" customHeight="false" outlineLevel="0" collapsed="false">
      <c r="C15" s="18" t="s">
        <v>176</v>
      </c>
      <c r="D15" s="4" t="n">
        <v>615</v>
      </c>
      <c r="E15" s="4" t="n">
        <v>0</v>
      </c>
      <c r="G15" s="18" t="s">
        <v>176</v>
      </c>
      <c r="H15" s="4" t="s">
        <v>356</v>
      </c>
      <c r="I15" s="4" t="n">
        <v>0</v>
      </c>
    </row>
    <row r="16" customFormat="false" ht="37.75" hidden="false" customHeight="false" outlineLevel="0" collapsed="false">
      <c r="C16" s="18" t="s">
        <v>180</v>
      </c>
      <c r="D16" s="4" t="n">
        <v>255</v>
      </c>
      <c r="E16" s="4" t="n">
        <v>0</v>
      </c>
      <c r="G16" s="18" t="s">
        <v>180</v>
      </c>
      <c r="H16" s="4" t="s">
        <v>357</v>
      </c>
      <c r="I16" s="4" t="n">
        <v>0</v>
      </c>
    </row>
    <row r="17" customFormat="false" ht="26.1" hidden="false" customHeight="false" outlineLevel="0" collapsed="false">
      <c r="C17" s="18" t="s">
        <v>341</v>
      </c>
      <c r="D17" s="4" t="n">
        <v>146</v>
      </c>
      <c r="E17" s="4" t="n">
        <v>241</v>
      </c>
      <c r="G17" s="18" t="s">
        <v>341</v>
      </c>
      <c r="H17" s="4" t="n">
        <v>813</v>
      </c>
      <c r="I17" s="4" t="s">
        <v>364</v>
      </c>
    </row>
    <row r="18" customFormat="false" ht="37.75" hidden="false" customHeight="false" outlineLevel="0" collapsed="false">
      <c r="C18" s="40" t="s">
        <v>178</v>
      </c>
      <c r="D18" s="4" t="n">
        <v>41</v>
      </c>
      <c r="E18" s="4" t="n">
        <v>115</v>
      </c>
      <c r="G18" s="40" t="s">
        <v>178</v>
      </c>
      <c r="H18" s="4" t="n">
        <v>228</v>
      </c>
      <c r="I18" s="4" t="n">
        <v>871</v>
      </c>
    </row>
    <row r="19" customFormat="false" ht="26.1" hidden="false" customHeight="false" outlineLevel="0" collapsed="false">
      <c r="C19" s="40" t="s">
        <v>179</v>
      </c>
      <c r="D19" s="4" t="n">
        <v>21</v>
      </c>
      <c r="E19" s="4" t="n">
        <v>50</v>
      </c>
      <c r="G19" s="40" t="s">
        <v>179</v>
      </c>
      <c r="H19" s="4" t="n">
        <v>118</v>
      </c>
      <c r="I19" s="4" t="n">
        <v>378</v>
      </c>
    </row>
    <row r="20" customFormat="false" ht="26.1" hidden="false" customHeight="false" outlineLevel="0" collapsed="false">
      <c r="C20" s="40" t="s">
        <v>182</v>
      </c>
      <c r="D20" s="4" t="n">
        <v>22</v>
      </c>
      <c r="E20" s="4" t="n">
        <v>28</v>
      </c>
      <c r="G20" s="40" t="s">
        <v>182</v>
      </c>
      <c r="H20" s="4" t="n">
        <v>122</v>
      </c>
      <c r="I20" s="4" t="n">
        <v>216</v>
      </c>
    </row>
    <row r="21" customFormat="false" ht="15.8" hidden="false" customHeight="false" outlineLevel="0" collapsed="false">
      <c r="C21" s="40" t="s">
        <v>173</v>
      </c>
      <c r="D21" s="4" t="n">
        <v>45</v>
      </c>
      <c r="E21" s="4" t="n">
        <v>30</v>
      </c>
      <c r="G21" s="40" t="s">
        <v>173</v>
      </c>
      <c r="H21" s="4" t="n">
        <v>250</v>
      </c>
      <c r="I21" s="4" t="n">
        <v>228</v>
      </c>
    </row>
    <row r="22" customFormat="false" ht="13.8" hidden="false" customHeight="false" outlineLevel="0" collapsed="false">
      <c r="C22" s="18" t="s">
        <v>175</v>
      </c>
      <c r="D22" s="4" t="n">
        <v>0</v>
      </c>
      <c r="E22" s="4" t="n">
        <v>32</v>
      </c>
    </row>
    <row r="23" customFormat="false" ht="13.8" hidden="false" customHeight="false" outlineLevel="0" collapsed="false">
      <c r="D23" s="4" t="n">
        <f aca="false">SUM(D18:D21)</f>
        <v>129</v>
      </c>
      <c r="E23" s="4" t="n">
        <f aca="false">SUM(E18:E21)</f>
        <v>223</v>
      </c>
      <c r="H23" s="4" t="n">
        <f aca="false">SUM(H18:H21)</f>
        <v>718</v>
      </c>
      <c r="I23" s="4" t="n">
        <f aca="false">SUM(I18:I21)</f>
        <v>1693</v>
      </c>
    </row>
    <row r="26" customFormat="false" ht="13.8" hidden="false" customHeight="false" outlineLevel="0" collapsed="false">
      <c r="C26" s="4" t="s">
        <v>377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L1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H2" activeCellId="0" sqref="H2"/>
    </sheetView>
  </sheetViews>
  <sheetFormatPr defaultColWidth="11.53515625" defaultRowHeight="12.8" zeroHeight="false" outlineLevelRow="0" outlineLevelCol="0"/>
  <sheetData>
    <row r="1" customFormat="false" ht="24" hidden="false" customHeight="false" outlineLevel="0" collapsed="false">
      <c r="A1" s="36" t="s">
        <v>378</v>
      </c>
      <c r="B1" s="36" t="s">
        <v>379</v>
      </c>
      <c r="C1" s="36" t="s">
        <v>380</v>
      </c>
      <c r="D1" s="36" t="s">
        <v>381</v>
      </c>
      <c r="E1" s="36" t="s">
        <v>382</v>
      </c>
      <c r="F1" s="36" t="s">
        <v>383</v>
      </c>
      <c r="G1" s="36" t="s">
        <v>384</v>
      </c>
      <c r="H1" s="36" t="s">
        <v>385</v>
      </c>
      <c r="I1" s="36" t="s">
        <v>386</v>
      </c>
      <c r="J1" s="36" t="s">
        <v>387</v>
      </c>
      <c r="K1" s="36" t="s">
        <v>388</v>
      </c>
      <c r="L1" s="36" t="s">
        <v>389</v>
      </c>
    </row>
    <row r="2" customFormat="false" ht="13" hidden="false" customHeight="false" outlineLevel="0" collapsed="false">
      <c r="A2" s="5" t="n">
        <v>35</v>
      </c>
      <c r="B2" s="5" t="s">
        <v>390</v>
      </c>
      <c r="C2" s="5" t="s">
        <v>391</v>
      </c>
      <c r="D2" s="5" t="s">
        <v>90</v>
      </c>
      <c r="E2" s="5" t="s">
        <v>392</v>
      </c>
      <c r="F2" s="5" t="s">
        <v>393</v>
      </c>
      <c r="G2" s="5" t="s">
        <v>394</v>
      </c>
      <c r="H2" s="5" t="s">
        <v>395</v>
      </c>
      <c r="I2" s="5" t="s">
        <v>396</v>
      </c>
      <c r="J2" s="5" t="n">
        <v>-573</v>
      </c>
      <c r="K2" s="5" t="n">
        <v>725.3</v>
      </c>
      <c r="L2" s="5" t="n">
        <v>-0.790017924</v>
      </c>
    </row>
    <row r="3" customFormat="false" ht="13" hidden="false" customHeight="false" outlineLevel="0" collapsed="false">
      <c r="A3" s="5" t="n">
        <v>35</v>
      </c>
      <c r="B3" s="5" t="s">
        <v>390</v>
      </c>
      <c r="C3" s="5" t="s">
        <v>391</v>
      </c>
      <c r="D3" s="5" t="s">
        <v>90</v>
      </c>
      <c r="E3" s="5" t="s">
        <v>392</v>
      </c>
      <c r="F3" s="5" t="s">
        <v>393</v>
      </c>
      <c r="G3" s="5" t="s">
        <v>394</v>
      </c>
      <c r="H3" s="5" t="s">
        <v>395</v>
      </c>
      <c r="I3" s="5" t="s">
        <v>397</v>
      </c>
      <c r="J3" s="5" t="n">
        <v>-1188</v>
      </c>
      <c r="K3" s="5" t="n">
        <v>387</v>
      </c>
      <c r="L3" s="5" t="n">
        <v>-3.069767442</v>
      </c>
    </row>
    <row r="4" customFormat="false" ht="13" hidden="false" customHeight="false" outlineLevel="0" collapsed="false">
      <c r="A4" s="5" t="n">
        <v>35</v>
      </c>
      <c r="B4" s="5" t="s">
        <v>390</v>
      </c>
      <c r="C4" s="5" t="s">
        <v>391</v>
      </c>
      <c r="D4" s="5" t="s">
        <v>90</v>
      </c>
      <c r="E4" s="5" t="s">
        <v>392</v>
      </c>
      <c r="F4" s="5" t="s">
        <v>393</v>
      </c>
      <c r="G4" s="5" t="s">
        <v>394</v>
      </c>
      <c r="H4" s="5" t="s">
        <v>395</v>
      </c>
      <c r="I4" s="5" t="s">
        <v>398</v>
      </c>
      <c r="J4" s="5" t="n">
        <v>378</v>
      </c>
      <c r="K4" s="5" t="n">
        <v>798</v>
      </c>
      <c r="L4" s="5" t="n">
        <v>0.473684211</v>
      </c>
    </row>
    <row r="5" customFormat="false" ht="13" hidden="false" customHeight="false" outlineLevel="0" collapsed="false">
      <c r="A5" s="5" t="n">
        <v>35</v>
      </c>
      <c r="B5" s="5" t="s">
        <v>390</v>
      </c>
      <c r="C5" s="5" t="s">
        <v>391</v>
      </c>
      <c r="D5" s="5" t="s">
        <v>90</v>
      </c>
      <c r="E5" s="5" t="s">
        <v>392</v>
      </c>
      <c r="F5" s="5" t="s">
        <v>393</v>
      </c>
      <c r="G5" s="5" t="s">
        <v>394</v>
      </c>
      <c r="H5" s="5" t="s">
        <v>395</v>
      </c>
      <c r="I5" s="5" t="s">
        <v>399</v>
      </c>
      <c r="J5" s="5" t="n">
        <v>-200</v>
      </c>
      <c r="K5" s="5" t="n">
        <v>42</v>
      </c>
      <c r="L5" s="5" t="n">
        <v>-4.761904762</v>
      </c>
    </row>
    <row r="6" customFormat="false" ht="13" hidden="false" customHeight="false" outlineLevel="0" collapsed="false">
      <c r="A6" s="5" t="n">
        <v>35</v>
      </c>
      <c r="B6" s="5" t="s">
        <v>390</v>
      </c>
      <c r="C6" s="5" t="s">
        <v>391</v>
      </c>
      <c r="D6" s="5" t="s">
        <v>90</v>
      </c>
      <c r="E6" s="5" t="s">
        <v>392</v>
      </c>
      <c r="F6" s="5" t="s">
        <v>393</v>
      </c>
      <c r="G6" s="5" t="s">
        <v>394</v>
      </c>
      <c r="H6" s="5" t="s">
        <v>395</v>
      </c>
      <c r="I6" s="5" t="s">
        <v>400</v>
      </c>
      <c r="J6" s="5" t="n">
        <v>575</v>
      </c>
      <c r="K6" s="5" t="n">
        <v>909</v>
      </c>
      <c r="L6" s="5" t="n">
        <v>0.632563256</v>
      </c>
    </row>
    <row r="7" customFormat="false" ht="13" hidden="false" customHeight="false" outlineLevel="0" collapsed="false">
      <c r="A7" s="5" t="n">
        <v>35</v>
      </c>
      <c r="B7" s="5" t="s">
        <v>390</v>
      </c>
      <c r="C7" s="5" t="s">
        <v>391</v>
      </c>
      <c r="D7" s="5" t="s">
        <v>90</v>
      </c>
      <c r="E7" s="5" t="s">
        <v>392</v>
      </c>
      <c r="F7" s="5" t="s">
        <v>393</v>
      </c>
      <c r="G7" s="5" t="s">
        <v>394</v>
      </c>
      <c r="H7" s="5" t="s">
        <v>395</v>
      </c>
      <c r="I7" s="5" t="s">
        <v>401</v>
      </c>
      <c r="J7" s="5" t="n">
        <v>353</v>
      </c>
      <c r="K7" s="5" t="n">
        <v>891</v>
      </c>
      <c r="L7" s="5" t="n">
        <v>0.396184063</v>
      </c>
    </row>
    <row r="8" customFormat="false" ht="13" hidden="true" customHeight="false" outlineLevel="0" collapsed="false">
      <c r="A8" s="5" t="n">
        <v>28</v>
      </c>
      <c r="B8" s="5" t="s">
        <v>402</v>
      </c>
      <c r="C8" s="5" t="s">
        <v>391</v>
      </c>
      <c r="D8" s="5" t="s">
        <v>90</v>
      </c>
      <c r="E8" s="5" t="s">
        <v>392</v>
      </c>
      <c r="F8" s="5" t="s">
        <v>403</v>
      </c>
      <c r="G8" s="5" t="s">
        <v>394</v>
      </c>
      <c r="H8" s="5" t="s">
        <v>395</v>
      </c>
      <c r="I8" s="8"/>
      <c r="J8" s="5" t="n">
        <v>1150</v>
      </c>
      <c r="K8" s="5" t="n">
        <v>2870</v>
      </c>
      <c r="L8" s="5" t="n">
        <v>0.400696864</v>
      </c>
    </row>
    <row r="9" customFormat="false" ht="13" hidden="false" customHeight="false" outlineLevel="0" collapsed="false">
      <c r="A9" s="5" t="n">
        <v>35</v>
      </c>
      <c r="B9" s="5" t="s">
        <v>390</v>
      </c>
      <c r="C9" s="5" t="s">
        <v>391</v>
      </c>
      <c r="D9" s="5" t="s">
        <v>90</v>
      </c>
      <c r="E9" s="5" t="s">
        <v>392</v>
      </c>
      <c r="F9" s="5" t="s">
        <v>393</v>
      </c>
      <c r="G9" s="5" t="s">
        <v>394</v>
      </c>
      <c r="H9" s="5" t="s">
        <v>404</v>
      </c>
      <c r="I9" s="5" t="s">
        <v>396</v>
      </c>
      <c r="J9" s="5" t="n">
        <v>-0.0758</v>
      </c>
      <c r="K9" s="5" t="n">
        <v>0.1524</v>
      </c>
      <c r="L9" s="5" t="n">
        <v>-0.497375328</v>
      </c>
    </row>
    <row r="10" customFormat="false" ht="13" hidden="false" customHeight="false" outlineLevel="0" collapsed="false">
      <c r="A10" s="5" t="n">
        <v>35</v>
      </c>
      <c r="B10" s="5" t="s">
        <v>390</v>
      </c>
      <c r="C10" s="5" t="s">
        <v>391</v>
      </c>
      <c r="D10" s="5" t="s">
        <v>90</v>
      </c>
      <c r="E10" s="5" t="s">
        <v>392</v>
      </c>
      <c r="F10" s="5" t="s">
        <v>393</v>
      </c>
      <c r="G10" s="5" t="s">
        <v>394</v>
      </c>
      <c r="H10" s="5" t="s">
        <v>404</v>
      </c>
      <c r="I10" s="5" t="s">
        <v>397</v>
      </c>
      <c r="J10" s="5" t="n">
        <v>-0.1747</v>
      </c>
      <c r="K10" s="5" t="n">
        <v>0.0941</v>
      </c>
      <c r="L10" s="5" t="n">
        <v>-1.8565356</v>
      </c>
    </row>
    <row r="11" customFormat="false" ht="13" hidden="false" customHeight="false" outlineLevel="0" collapsed="false">
      <c r="A11" s="5" t="n">
        <v>35</v>
      </c>
      <c r="B11" s="5" t="s">
        <v>390</v>
      </c>
      <c r="C11" s="5" t="s">
        <v>391</v>
      </c>
      <c r="D11" s="5" t="s">
        <v>90</v>
      </c>
      <c r="E11" s="5" t="s">
        <v>392</v>
      </c>
      <c r="F11" s="5" t="s">
        <v>393</v>
      </c>
      <c r="G11" s="5" t="s">
        <v>394</v>
      </c>
      <c r="H11" s="5" t="s">
        <v>404</v>
      </c>
      <c r="I11" s="5" t="s">
        <v>398</v>
      </c>
      <c r="J11" s="5" t="n">
        <v>0.05</v>
      </c>
      <c r="K11" s="5" t="n">
        <v>0.336</v>
      </c>
      <c r="L11" s="5" t="n">
        <v>0.148809524</v>
      </c>
    </row>
    <row r="12" customFormat="false" ht="13" hidden="false" customHeight="false" outlineLevel="0" collapsed="false">
      <c r="A12" s="5" t="n">
        <v>35</v>
      </c>
      <c r="B12" s="5" t="s">
        <v>390</v>
      </c>
      <c r="C12" s="5" t="s">
        <v>391</v>
      </c>
      <c r="D12" s="5" t="s">
        <v>90</v>
      </c>
      <c r="E12" s="5" t="s">
        <v>392</v>
      </c>
      <c r="F12" s="5" t="s">
        <v>393</v>
      </c>
      <c r="G12" s="5" t="s">
        <v>394</v>
      </c>
      <c r="H12" s="5" t="s">
        <v>404</v>
      </c>
      <c r="I12" s="5" t="s">
        <v>400</v>
      </c>
      <c r="J12" s="5" t="n">
        <v>0.113</v>
      </c>
      <c r="K12" s="5" t="n">
        <v>0.302</v>
      </c>
      <c r="L12" s="5" t="n">
        <v>0.374172185</v>
      </c>
    </row>
    <row r="13" customFormat="false" ht="13" hidden="false" customHeight="false" outlineLevel="0" collapsed="false">
      <c r="A13" s="5" t="n">
        <v>35</v>
      </c>
      <c r="B13" s="5" t="s">
        <v>390</v>
      </c>
      <c r="C13" s="5" t="s">
        <v>391</v>
      </c>
      <c r="D13" s="5" t="s">
        <v>90</v>
      </c>
      <c r="E13" s="5" t="s">
        <v>392</v>
      </c>
      <c r="F13" s="5" t="s">
        <v>393</v>
      </c>
      <c r="G13" s="5" t="s">
        <v>394</v>
      </c>
      <c r="H13" s="5" t="s">
        <v>404</v>
      </c>
      <c r="I13" s="5" t="s">
        <v>401</v>
      </c>
      <c r="J13" s="5" t="n">
        <v>0.074</v>
      </c>
      <c r="K13" s="5" t="n">
        <v>0.343</v>
      </c>
      <c r="L13" s="5" t="n">
        <v>0.21574344</v>
      </c>
    </row>
    <row r="14" customFormat="false" ht="13" hidden="true" customHeight="false" outlineLevel="0" collapsed="false">
      <c r="A14" s="5" t="n">
        <v>8</v>
      </c>
      <c r="B14" s="5" t="s">
        <v>405</v>
      </c>
      <c r="C14" s="5" t="s">
        <v>391</v>
      </c>
      <c r="D14" s="5" t="s">
        <v>90</v>
      </c>
      <c r="E14" s="5" t="s">
        <v>392</v>
      </c>
      <c r="F14" s="5" t="s">
        <v>403</v>
      </c>
      <c r="G14" s="5" t="s">
        <v>394</v>
      </c>
      <c r="H14" s="5" t="s">
        <v>404</v>
      </c>
      <c r="I14" s="8"/>
      <c r="J14" s="5" t="n">
        <v>-0.00439</v>
      </c>
      <c r="K14" s="5" t="n">
        <v>0.79276</v>
      </c>
      <c r="L14" s="5" t="n">
        <v>-0.005537615</v>
      </c>
    </row>
    <row r="15" customFormat="false" ht="13" hidden="true" customHeight="false" outlineLevel="0" collapsed="false">
      <c r="A15" s="5" t="n">
        <v>12</v>
      </c>
      <c r="B15" s="5" t="s">
        <v>402</v>
      </c>
      <c r="C15" s="5" t="s">
        <v>391</v>
      </c>
      <c r="D15" s="5" t="s">
        <v>90</v>
      </c>
      <c r="E15" s="5" t="s">
        <v>392</v>
      </c>
      <c r="F15" s="5" t="s">
        <v>403</v>
      </c>
      <c r="G15" s="5" t="s">
        <v>394</v>
      </c>
      <c r="H15" s="5" t="s">
        <v>404</v>
      </c>
      <c r="I15" s="8"/>
      <c r="J15" s="5" t="n">
        <v>0.420187793</v>
      </c>
      <c r="K15" s="5" t="n">
        <v>0.457746479</v>
      </c>
      <c r="L15" s="5" t="n">
        <v>0.917948718</v>
      </c>
    </row>
    <row r="16" customFormat="false" ht="13" hidden="true" customHeight="false" outlineLevel="0" collapsed="false">
      <c r="A16" s="5" t="n">
        <v>28</v>
      </c>
      <c r="B16" s="5" t="s">
        <v>402</v>
      </c>
      <c r="C16" s="5" t="s">
        <v>391</v>
      </c>
      <c r="D16" s="5" t="s">
        <v>90</v>
      </c>
      <c r="E16" s="5" t="s">
        <v>392</v>
      </c>
      <c r="F16" s="5" t="s">
        <v>403</v>
      </c>
      <c r="G16" s="5" t="s">
        <v>394</v>
      </c>
      <c r="H16" s="5" t="s">
        <v>404</v>
      </c>
      <c r="I16" s="8"/>
      <c r="J16" s="5" t="n">
        <v>1.2544</v>
      </c>
      <c r="K16" s="5" t="n">
        <v>0.7808</v>
      </c>
      <c r="L16" s="5" t="n">
        <v>1.606557377</v>
      </c>
    </row>
  </sheetData>
  <autoFilter ref="A1:L16">
    <filterColumn colId="8">
      <filters>
        <filter val="2014, NV"/>
        <filter val="2014, OV"/>
        <filter val="2015, NV"/>
        <filter val="2015, OV"/>
        <filter val="2016, NV"/>
        <filter val="2016, OV"/>
      </filters>
    </filterColumn>
  </autoFilter>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F1" activeCellId="0" sqref="F1"/>
    </sheetView>
  </sheetViews>
  <sheetFormatPr defaultColWidth="11.53515625" defaultRowHeight="13.8" zeroHeight="false" outlineLevelRow="0" outlineLevelCol="0"/>
  <cols>
    <col collapsed="false" customWidth="true" hidden="false" outlineLevel="0" max="1" min="1" style="8" width="35.16"/>
    <col collapsed="false" customWidth="true" hidden="false" outlineLevel="0" max="2" min="2" style="4" width="15.29"/>
    <col collapsed="false" customWidth="true" hidden="false" outlineLevel="0" max="3" min="3" style="4" width="13.19"/>
    <col collapsed="false" customWidth="true" hidden="false" outlineLevel="0" max="4" min="4" style="4" width="14.59"/>
  </cols>
  <sheetData>
    <row r="1" customFormat="false" ht="13.8" hidden="false" customHeight="false" outlineLevel="0" collapsed="false">
      <c r="A1" s="8" t="s">
        <v>4</v>
      </c>
      <c r="B1" s="8" t="s">
        <v>406</v>
      </c>
      <c r="C1" s="8" t="s">
        <v>407</v>
      </c>
    </row>
    <row r="2" customFormat="false" ht="13.8" hidden="false" customHeight="false" outlineLevel="0" collapsed="false">
      <c r="A2" s="8" t="s">
        <v>408</v>
      </c>
      <c r="B2" s="8" t="n">
        <v>8013</v>
      </c>
      <c r="C2" s="8" t="n">
        <v>1.02</v>
      </c>
    </row>
    <row r="3" customFormat="false" ht="13.8" hidden="false" customHeight="false" outlineLevel="0" collapsed="false">
      <c r="A3" s="8" t="s">
        <v>409</v>
      </c>
      <c r="B3" s="8" t="n">
        <v>876</v>
      </c>
      <c r="C3" s="8" t="n">
        <v>0.15</v>
      </c>
    </row>
    <row r="4" customFormat="false" ht="13.8" hidden="false" customHeight="false" outlineLevel="0" collapsed="false">
      <c r="A4" s="8" t="s">
        <v>410</v>
      </c>
      <c r="B4" s="8" t="n">
        <f aca="false">B2-B3</f>
        <v>7137</v>
      </c>
      <c r="C4" s="8" t="n">
        <v>0.87</v>
      </c>
    </row>
    <row r="7" customFormat="false" ht="13.8" hidden="false" customHeight="false" outlineLevel="0" collapsed="false">
      <c r="A7" s="4" t="s">
        <v>411</v>
      </c>
      <c r="B7" s="4" t="s">
        <v>412</v>
      </c>
      <c r="C7" s="4" t="s">
        <v>413</v>
      </c>
      <c r="D7" s="4" t="s">
        <v>414</v>
      </c>
    </row>
    <row r="8" customFormat="false" ht="13.8" hidden="false" customHeight="false" outlineLevel="0" collapsed="false">
      <c r="A8" s="4" t="s">
        <v>415</v>
      </c>
      <c r="B8" s="4" t="n">
        <v>1149</v>
      </c>
      <c r="C8" s="4" t="n">
        <v>12536</v>
      </c>
      <c r="D8" s="4" t="n">
        <v>1203</v>
      </c>
    </row>
    <row r="9" customFormat="false" ht="13.8" hidden="false" customHeight="false" outlineLevel="0" collapsed="false">
      <c r="A9" s="4" t="s">
        <v>416</v>
      </c>
      <c r="B9" s="43" t="s">
        <v>417</v>
      </c>
      <c r="C9" s="43" t="s">
        <v>418</v>
      </c>
      <c r="D9" s="43" t="s">
        <v>419</v>
      </c>
    </row>
    <row r="10" customFormat="false" ht="13.8" hidden="false" customHeight="false" outlineLevel="0" collapsed="false">
      <c r="A10" s="4" t="s">
        <v>420</v>
      </c>
      <c r="B10" s="43" t="s">
        <v>421</v>
      </c>
      <c r="C10" s="43" t="s">
        <v>421</v>
      </c>
      <c r="D10" s="43" t="s">
        <v>422</v>
      </c>
    </row>
    <row r="11" customFormat="false" ht="13.8" hidden="false" customHeight="false" outlineLevel="0" collapsed="false">
      <c r="A11" s="4" t="s">
        <v>423</v>
      </c>
      <c r="B11" s="4" t="n">
        <v>75</v>
      </c>
      <c r="C11" s="4" t="n">
        <v>82</v>
      </c>
      <c r="D11" s="4" t="n">
        <v>74</v>
      </c>
    </row>
    <row r="12" customFormat="false" ht="13.8" hidden="false" customHeight="false" outlineLevel="0" collapsed="false">
      <c r="A12" s="4" t="s">
        <v>424</v>
      </c>
      <c r="B12" s="4" t="n">
        <v>63</v>
      </c>
      <c r="C12" s="4" t="n">
        <v>76</v>
      </c>
      <c r="D12" s="4" t="n">
        <v>83</v>
      </c>
    </row>
    <row r="13" customFormat="false" ht="13.8" hidden="false" customHeight="false" outlineLevel="0" collapsed="false">
      <c r="A13" s="4" t="s">
        <v>425</v>
      </c>
    </row>
    <row r="14" customFormat="false" ht="13.8" hidden="false" customHeight="false" outlineLevel="0" collapsed="false">
      <c r="A14" s="4" t="s">
        <v>426</v>
      </c>
      <c r="B14" s="4" t="n">
        <v>0.82</v>
      </c>
      <c r="C14" s="4" t="n">
        <v>1.02</v>
      </c>
      <c r="D14" s="4" t="n">
        <v>1.35</v>
      </c>
      <c r="F14" s="4" t="s">
        <v>427</v>
      </c>
      <c r="G14" s="4" t="n">
        <f aca="false">$B$2*(B14/B$14)</f>
        <v>8013</v>
      </c>
      <c r="H14" s="4" t="n">
        <f aca="false">$B$2*(C14/C$14)</f>
        <v>8013</v>
      </c>
      <c r="I14" s="4" t="n">
        <f aca="false">$B$2*(D14/D$14)</f>
        <v>8013</v>
      </c>
    </row>
    <row r="15" customFormat="false" ht="13.8" hidden="false" customHeight="false" outlineLevel="0" collapsed="false">
      <c r="A15" s="4" t="s">
        <v>183</v>
      </c>
      <c r="B15" s="4" t="n">
        <v>0.5</v>
      </c>
      <c r="C15" s="4" t="n">
        <v>0.57</v>
      </c>
      <c r="D15" s="4" t="n">
        <v>0.71</v>
      </c>
      <c r="F15" s="4" t="s">
        <v>183</v>
      </c>
      <c r="G15" s="4" t="n">
        <f aca="false">$B$2*(B15/B$14)</f>
        <v>4885.9756097561</v>
      </c>
      <c r="H15" s="4" t="n">
        <f aca="false">$B$2*(C15/C$14)</f>
        <v>4477.85294117647</v>
      </c>
      <c r="I15" s="4" t="n">
        <f aca="false">$B$2*(D15/D$14)</f>
        <v>4214.24444444444</v>
      </c>
    </row>
    <row r="16" customFormat="false" ht="13.8" hidden="false" customHeight="false" outlineLevel="0" collapsed="false">
      <c r="A16" s="4" t="s">
        <v>184</v>
      </c>
      <c r="B16" s="4" t="n">
        <v>0.1</v>
      </c>
      <c r="C16" s="4" t="n">
        <v>0.14</v>
      </c>
      <c r="D16" s="4" t="n">
        <v>0.18</v>
      </c>
      <c r="F16" s="4" t="s">
        <v>184</v>
      </c>
      <c r="G16" s="4" t="n">
        <f aca="false">$B$2*(B16/B$14)</f>
        <v>977.19512195122</v>
      </c>
      <c r="H16" s="4" t="n">
        <f aca="false">$B$2*(C16/C$14)</f>
        <v>1099.82352941176</v>
      </c>
      <c r="I16" s="4" t="n">
        <f aca="false">$B$2*(D16/D$14)</f>
        <v>1068.4</v>
      </c>
    </row>
    <row r="17" customFormat="false" ht="13.8" hidden="false" customHeight="false" outlineLevel="0" collapsed="false">
      <c r="A17" s="4" t="s">
        <v>185</v>
      </c>
      <c r="B17" s="4" t="n">
        <v>0.05</v>
      </c>
      <c r="C17" s="4" t="n">
        <v>0.08</v>
      </c>
      <c r="D17" s="4" t="n">
        <v>0.11</v>
      </c>
      <c r="F17" s="4" t="s">
        <v>185</v>
      </c>
      <c r="G17" s="4" t="n">
        <f aca="false">$B$2*(B17/B$14)</f>
        <v>488.59756097561</v>
      </c>
      <c r="H17" s="4" t="n">
        <f aca="false">$B$2*(C17/C$14)</f>
        <v>628.470588235294</v>
      </c>
      <c r="I17" s="4" t="n">
        <f aca="false">$B$2*(D17/D$14)</f>
        <v>652.911111111111</v>
      </c>
    </row>
    <row r="18" customFormat="false" ht="13.8" hidden="false" customHeight="false" outlineLevel="0" collapsed="false">
      <c r="A18" s="4" t="s">
        <v>186</v>
      </c>
      <c r="B18" s="4" t="n">
        <v>0.06</v>
      </c>
      <c r="C18" s="4" t="n">
        <v>0.07</v>
      </c>
      <c r="D18" s="4" t="n">
        <v>0.09</v>
      </c>
      <c r="F18" s="4" t="s">
        <v>186</v>
      </c>
      <c r="G18" s="4" t="n">
        <f aca="false">$B$2*(B18/B$14)</f>
        <v>586.317073170732</v>
      </c>
      <c r="H18" s="4" t="n">
        <f aca="false">$B$2*(C18/C$14)</f>
        <v>549.911764705882</v>
      </c>
      <c r="I18" s="4" t="n">
        <f aca="false">$B$2*(D18/D$14)</f>
        <v>534.2</v>
      </c>
    </row>
    <row r="19" customFormat="false" ht="13.8" hidden="false" customHeight="false" outlineLevel="0" collapsed="false">
      <c r="A19" s="4" t="s">
        <v>187</v>
      </c>
      <c r="B19" s="4" t="n">
        <v>0.09</v>
      </c>
      <c r="C19" s="4" t="n">
        <v>0.13</v>
      </c>
      <c r="D19" s="4" t="n">
        <v>0.16</v>
      </c>
      <c r="F19" s="4" t="s">
        <v>187</v>
      </c>
      <c r="G19" s="4" t="n">
        <f aca="false">$B$2*(B19/B$14)</f>
        <v>879.475609756098</v>
      </c>
      <c r="H19" s="4" t="n">
        <f aca="false">$B$2*(C19/C$14)</f>
        <v>1021.26470588235</v>
      </c>
      <c r="I19" s="4" t="n">
        <f aca="false">$B$2*(D19/D$14)</f>
        <v>949.688888888889</v>
      </c>
    </row>
    <row r="20" customFormat="false" ht="13.8" hidden="false" customHeight="false" outlineLevel="0" collapsed="false">
      <c r="A20" s="4" t="s">
        <v>188</v>
      </c>
      <c r="B20" s="4" t="n">
        <v>0.01</v>
      </c>
      <c r="C20" s="4" t="n">
        <v>0.02</v>
      </c>
      <c r="D20" s="4" t="n">
        <v>0.03</v>
      </c>
      <c r="F20" s="4" t="s">
        <v>188</v>
      </c>
      <c r="G20" s="4" t="n">
        <f aca="false">$B$2*(B20/B$14)</f>
        <v>97.719512195122</v>
      </c>
      <c r="H20" s="4" t="n">
        <f aca="false">$B$2*(C20/C$14)</f>
        <v>157.117647058824</v>
      </c>
      <c r="I20" s="4" t="n">
        <f aca="false">$B$2*(D20/D$14)</f>
        <v>178.066666666667</v>
      </c>
    </row>
    <row r="21" customFormat="false" ht="13.8" hidden="false" customHeight="false" outlineLevel="0" collapsed="false">
      <c r="A21" s="4" t="s">
        <v>189</v>
      </c>
      <c r="B21" s="4" t="n">
        <v>0</v>
      </c>
      <c r="C21" s="4" t="n">
        <v>0.02</v>
      </c>
      <c r="D21" s="4" t="n">
        <v>0.07</v>
      </c>
      <c r="F21" s="4" t="s">
        <v>189</v>
      </c>
      <c r="G21" s="4" t="n">
        <f aca="false">$B$2*(B21/B$14)</f>
        <v>0</v>
      </c>
      <c r="H21" s="4" t="n">
        <f aca="false">$B$2*(C21/C$14)</f>
        <v>157.117647058824</v>
      </c>
      <c r="I21" s="4" t="n">
        <f aca="false">$B$2*(D21/D$14)</f>
        <v>415.488888888889</v>
      </c>
    </row>
    <row r="22" customFormat="false" ht="13.8" hidden="false" customHeight="false" outlineLevel="0" collapsed="false">
      <c r="A22" s="4" t="s">
        <v>428</v>
      </c>
      <c r="B22" s="4" t="n">
        <v>0.1</v>
      </c>
      <c r="C22" s="4" t="n">
        <v>0.15</v>
      </c>
      <c r="D22" s="4" t="n">
        <v>0.29</v>
      </c>
    </row>
    <row r="23" customFormat="false" ht="13.8" hidden="false" customHeight="false" outlineLevel="0" collapsed="false">
      <c r="A23" s="4" t="s">
        <v>429</v>
      </c>
    </row>
    <row r="24" customFormat="false" ht="13.8" hidden="false" customHeight="false" outlineLevel="0" collapsed="false">
      <c r="A24" s="4" t="s">
        <v>430</v>
      </c>
    </row>
    <row r="25" customFormat="false" ht="13.8" hidden="false" customHeight="false" outlineLevel="0" collapsed="false">
      <c r="A25" s="4" t="s">
        <v>431</v>
      </c>
      <c r="B25" s="4" t="n">
        <v>8613</v>
      </c>
      <c r="C25" s="4" t="n">
        <v>7555</v>
      </c>
      <c r="D25" s="4" t="n">
        <v>5965</v>
      </c>
    </row>
    <row r="26" customFormat="false" ht="13.8" hidden="false" customHeight="false" outlineLevel="0" collapsed="false">
      <c r="A26" s="4" t="s">
        <v>432</v>
      </c>
      <c r="B26" s="4" t="n">
        <v>10923</v>
      </c>
      <c r="C26" s="4" t="n">
        <v>9001</v>
      </c>
      <c r="D26" s="4" t="n">
        <v>6152</v>
      </c>
    </row>
    <row r="27" customFormat="false" ht="13.8" hidden="false" customHeight="false" outlineLevel="0" collapsed="false">
      <c r="A27" s="4" t="s">
        <v>433</v>
      </c>
      <c r="B27" s="43" t="s">
        <v>434</v>
      </c>
      <c r="C27" s="43" t="s">
        <v>435</v>
      </c>
      <c r="D27" s="43" t="s">
        <v>436</v>
      </c>
    </row>
    <row r="28" customFormat="false" ht="13.8" hidden="false" customHeight="false" outlineLevel="0" collapsed="false">
      <c r="A28" s="4" t="s">
        <v>437</v>
      </c>
      <c r="B28" s="4" t="n">
        <v>27</v>
      </c>
      <c r="C28" s="4" t="n">
        <v>30</v>
      </c>
      <c r="D28" s="4" t="n">
        <v>32</v>
      </c>
    </row>
    <row r="29" customFormat="false" ht="13.8" hidden="false" customHeight="false" outlineLevel="0" collapsed="false">
      <c r="A29" s="4" t="s">
        <v>438</v>
      </c>
      <c r="B29" s="43" t="s">
        <v>439</v>
      </c>
      <c r="C29" s="43" t="s">
        <v>439</v>
      </c>
      <c r="D29" s="43" t="s">
        <v>440</v>
      </c>
    </row>
    <row r="30" customFormat="false" ht="13.8" hidden="false" customHeight="false" outlineLevel="0" collapsed="false">
      <c r="A30" s="4" t="s">
        <v>441</v>
      </c>
    </row>
    <row r="31" customFormat="false" ht="13.8" hidden="false" customHeight="false" outlineLevel="0" collapsed="false">
      <c r="A31" s="4" t="s">
        <v>442</v>
      </c>
      <c r="B31" s="4" t="n">
        <v>166</v>
      </c>
      <c r="C31" s="4" t="n">
        <v>198</v>
      </c>
      <c r="D31" s="4" t="n">
        <v>237</v>
      </c>
    </row>
    <row r="32" customFormat="false" ht="13.8" hidden="false" customHeight="false" outlineLevel="0" collapsed="false">
      <c r="A32" s="4" t="s">
        <v>443</v>
      </c>
      <c r="B32" s="4" t="n">
        <v>646</v>
      </c>
      <c r="C32" s="4" t="n">
        <v>671</v>
      </c>
      <c r="D32" s="4" t="n">
        <v>634</v>
      </c>
    </row>
    <row r="33" customFormat="false" ht="13.8" hidden="false" customHeight="false" outlineLevel="0" collapsed="false">
      <c r="A33" s="4" t="s">
        <v>444</v>
      </c>
      <c r="B33" s="4" t="n">
        <v>104</v>
      </c>
      <c r="C33" s="4" t="n">
        <v>105</v>
      </c>
      <c r="D33" s="4" t="n">
        <v>103</v>
      </c>
    </row>
    <row r="34" customFormat="false" ht="13.8" hidden="false" customHeight="false" outlineLevel="0" collapsed="false">
      <c r="A34" s="4" t="s">
        <v>445</v>
      </c>
      <c r="B34" s="43" t="s">
        <v>446</v>
      </c>
      <c r="C34" s="43" t="s">
        <v>447</v>
      </c>
      <c r="D34" s="43" t="s">
        <v>448</v>
      </c>
    </row>
    <row r="35" customFormat="false" ht="13.8" hidden="false" customHeight="false" outlineLevel="0" collapsed="false">
      <c r="A35" s="4" t="s">
        <v>449</v>
      </c>
    </row>
    <row r="36" customFormat="false" ht="13.8" hidden="false" customHeight="false" outlineLevel="0" collapsed="false">
      <c r="A36" s="4" t="s">
        <v>450</v>
      </c>
      <c r="B36" s="4" t="n">
        <v>40</v>
      </c>
      <c r="C36" s="4" t="n">
        <v>53</v>
      </c>
      <c r="D36" s="4" t="n">
        <v>53</v>
      </c>
    </row>
    <row r="37" customFormat="false" ht="13.8" hidden="false" customHeight="false" outlineLevel="0" collapsed="false">
      <c r="A37" s="4" t="s">
        <v>451</v>
      </c>
      <c r="B37" s="4" t="n">
        <v>124</v>
      </c>
      <c r="C37" s="4" t="n">
        <v>127</v>
      </c>
      <c r="D37" s="4" t="n">
        <v>110</v>
      </c>
    </row>
    <row r="38" customFormat="false" ht="13.8" hidden="false" customHeight="false" outlineLevel="0" collapsed="false">
      <c r="A38" s="4" t="s">
        <v>452</v>
      </c>
      <c r="B38" s="4" t="n">
        <v>7</v>
      </c>
      <c r="C38" s="4" t="n">
        <v>6.3</v>
      </c>
      <c r="D38" s="4" t="n">
        <v>5.3</v>
      </c>
    </row>
    <row r="39" customFormat="false" ht="13.8" hidden="false" customHeight="false" outlineLevel="0" collapsed="false">
      <c r="A39" s="4" t="s">
        <v>453</v>
      </c>
    </row>
    <row r="40" customFormat="false" ht="13.8" hidden="false" customHeight="false" outlineLevel="0" collapsed="false">
      <c r="A40" s="4" t="s">
        <v>454</v>
      </c>
      <c r="B40" s="4" t="n">
        <v>100</v>
      </c>
      <c r="C40" s="4" t="n">
        <v>80</v>
      </c>
      <c r="D40" s="4" t="n">
        <v>62</v>
      </c>
    </row>
    <row r="41" customFormat="false" ht="13.8" hidden="false" customHeight="false" outlineLevel="0" collapsed="false">
      <c r="A41" s="4" t="s">
        <v>455</v>
      </c>
      <c r="B41" s="43" t="s">
        <v>456</v>
      </c>
      <c r="C41" s="43" t="s">
        <v>439</v>
      </c>
      <c r="D41" s="43" t="s">
        <v>457</v>
      </c>
    </row>
    <row r="42" customFormat="false" ht="13.8" hidden="false" customHeight="false" outlineLevel="0" collapsed="false">
      <c r="A42" s="4" t="s">
        <v>458</v>
      </c>
    </row>
    <row r="43" customFormat="false" ht="13.8" hidden="false" customHeight="false" outlineLevel="0" collapsed="false">
      <c r="A43" s="4" t="s">
        <v>459</v>
      </c>
      <c r="B43" s="4" t="n">
        <v>143</v>
      </c>
      <c r="C43" s="4" t="n">
        <v>143</v>
      </c>
      <c r="D43" s="4" t="n">
        <v>146</v>
      </c>
    </row>
    <row r="44" customFormat="false" ht="13.8" hidden="false" customHeight="false" outlineLevel="0" collapsed="false">
      <c r="A44" s="4" t="s">
        <v>460</v>
      </c>
    </row>
    <row r="45" customFormat="false" ht="13.8" hidden="false" customHeight="false" outlineLevel="0" collapsed="false">
      <c r="A45" s="4" t="s">
        <v>461</v>
      </c>
      <c r="B45" s="4" t="n">
        <v>183</v>
      </c>
      <c r="C45" s="4" t="n">
        <v>181</v>
      </c>
      <c r="D45" s="4" t="n">
        <v>161</v>
      </c>
    </row>
    <row r="46" customFormat="false" ht="13.8" hidden="false" customHeight="false" outlineLevel="0" collapsed="false">
      <c r="A46" s="4" t="s">
        <v>462</v>
      </c>
      <c r="B46" s="4" t="n">
        <v>63</v>
      </c>
      <c r="C46" s="4" t="n">
        <v>69</v>
      </c>
      <c r="D46" s="4" t="n">
        <v>85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5" activeCellId="0" sqref="B25"/>
    </sheetView>
  </sheetViews>
  <sheetFormatPr defaultColWidth="11.53515625" defaultRowHeight="12.8" zeroHeight="false" outlineLevelRow="0" outlineLevelCol="0"/>
  <sheetData>
    <row r="1" customFormat="false" ht="56.65" hidden="false" customHeight="false" outlineLevel="0" collapsed="false">
      <c r="A1" s="1" t="s">
        <v>463</v>
      </c>
      <c r="B1" s="5" t="s">
        <v>464</v>
      </c>
      <c r="C1" s="1" t="s">
        <v>465</v>
      </c>
      <c r="D1" s="5"/>
      <c r="E1" s="5"/>
      <c r="F1" s="5"/>
      <c r="G1" s="5"/>
      <c r="H1" s="44" t="s">
        <v>466</v>
      </c>
      <c r="I1" s="5"/>
    </row>
    <row r="2" customFormat="false" ht="12.8" hidden="false" customHeight="false" outlineLevel="0" collapsed="false">
      <c r="A2" s="1"/>
      <c r="B2" s="1"/>
      <c r="C2" s="1"/>
      <c r="D2" s="5" t="s">
        <v>467</v>
      </c>
      <c r="E2" s="5"/>
      <c r="F2" s="5" t="s">
        <v>468</v>
      </c>
      <c r="G2" s="5"/>
      <c r="H2" s="5"/>
      <c r="I2" s="5"/>
    </row>
    <row r="3" customFormat="false" ht="23.3" hidden="false" customHeight="false" outlineLevel="0" collapsed="false">
      <c r="A3" s="1"/>
      <c r="B3" s="1"/>
      <c r="C3" s="1"/>
      <c r="D3" s="5" t="s">
        <v>469</v>
      </c>
      <c r="E3" s="5"/>
      <c r="F3" s="5" t="s">
        <v>470</v>
      </c>
      <c r="G3" s="5"/>
      <c r="H3" s="5"/>
      <c r="I3" s="5"/>
    </row>
    <row r="4" customFormat="false" ht="12.8" hidden="false" customHeight="false" outlineLevel="0" collapsed="false">
      <c r="A4" s="1"/>
      <c r="B4" s="1"/>
      <c r="C4" s="1"/>
      <c r="D4" s="1" t="s">
        <v>471</v>
      </c>
      <c r="E4" s="1" t="s">
        <v>472</v>
      </c>
      <c r="F4" s="1" t="s">
        <v>471</v>
      </c>
      <c r="G4" s="1" t="s">
        <v>472</v>
      </c>
      <c r="H4" s="1" t="s">
        <v>473</v>
      </c>
      <c r="I4" s="1" t="s">
        <v>474</v>
      </c>
    </row>
    <row r="5" customFormat="false" ht="12.8" hidden="false" customHeight="false" outlineLevel="0" collapsed="false">
      <c r="A5" s="1"/>
      <c r="B5" s="1"/>
      <c r="C5" s="1"/>
      <c r="D5" s="1"/>
      <c r="E5" s="1"/>
      <c r="F5" s="1"/>
      <c r="G5" s="1"/>
      <c r="H5" s="1"/>
      <c r="I5" s="1"/>
    </row>
    <row r="6" customFormat="false" ht="12.8" hidden="false" customHeight="false" outlineLevel="0" collapsed="false">
      <c r="A6" s="1" t="s">
        <v>475</v>
      </c>
      <c r="B6" s="1" t="s">
        <v>476</v>
      </c>
      <c r="C6" s="1" t="s">
        <v>477</v>
      </c>
      <c r="D6" s="1" t="n">
        <v>1.19</v>
      </c>
      <c r="E6" s="1" t="n">
        <v>0.75</v>
      </c>
      <c r="F6" s="1" t="n">
        <v>0.28</v>
      </c>
      <c r="G6" s="1" t="n">
        <v>0.24</v>
      </c>
      <c r="H6" s="45" t="n">
        <v>-0.37</v>
      </c>
      <c r="I6" s="45" t="n">
        <v>-0.16</v>
      </c>
    </row>
    <row r="7" customFormat="false" ht="34.4" hidden="false" customHeight="false" outlineLevel="0" collapsed="false">
      <c r="A7" s="1" t="s">
        <v>475</v>
      </c>
      <c r="B7" s="1" t="s">
        <v>478</v>
      </c>
      <c r="C7" s="1" t="s">
        <v>102</v>
      </c>
      <c r="D7" s="1" t="n">
        <v>2.87</v>
      </c>
      <c r="E7" s="1" t="n">
        <v>1.15</v>
      </c>
      <c r="F7" s="1" t="n">
        <v>1.18</v>
      </c>
      <c r="G7" s="1" t="n">
        <v>1.55</v>
      </c>
      <c r="H7" s="45" t="n">
        <v>-0.6</v>
      </c>
      <c r="I7" s="45" t="n">
        <v>0.31</v>
      </c>
    </row>
    <row r="8" customFormat="false" ht="23.3" hidden="false" customHeight="false" outlineLevel="0" collapsed="false">
      <c r="A8" s="1" t="s">
        <v>479</v>
      </c>
      <c r="B8" s="1" t="s">
        <v>480</v>
      </c>
      <c r="C8" s="1" t="s">
        <v>101</v>
      </c>
      <c r="D8" s="1" t="n">
        <v>5.33</v>
      </c>
      <c r="E8" s="1" t="n">
        <v>1.61</v>
      </c>
      <c r="F8" s="1" t="n">
        <v>0.22</v>
      </c>
      <c r="G8" s="1" t="n">
        <v>0.11</v>
      </c>
      <c r="H8" s="46" t="s">
        <v>481</v>
      </c>
      <c r="I8" s="46" t="s">
        <v>482</v>
      </c>
    </row>
    <row r="9" customFormat="false" ht="23.3" hidden="false" customHeight="false" outlineLevel="0" collapsed="false">
      <c r="A9" s="1" t="s">
        <v>479</v>
      </c>
      <c r="B9" s="1" t="s">
        <v>480</v>
      </c>
      <c r="C9" s="1" t="s">
        <v>97</v>
      </c>
      <c r="D9" s="1" t="n">
        <v>5.2</v>
      </c>
      <c r="E9" s="1" t="n">
        <v>4.2</v>
      </c>
      <c r="F9" s="1" t="n">
        <v>1173</v>
      </c>
      <c r="G9" s="1" t="n">
        <v>1017</v>
      </c>
      <c r="H9" s="46" t="s">
        <v>483</v>
      </c>
      <c r="I9" s="46" t="s">
        <v>484</v>
      </c>
    </row>
    <row r="10" customFormat="false" ht="23.3" hidden="false" customHeight="false" outlineLevel="0" collapsed="false">
      <c r="A10" s="1" t="s">
        <v>479</v>
      </c>
      <c r="B10" s="1" t="s">
        <v>480</v>
      </c>
      <c r="C10" s="1" t="s">
        <v>100</v>
      </c>
      <c r="D10" s="1" t="n">
        <v>6.8</v>
      </c>
      <c r="E10" s="1" t="n">
        <v>5.9</v>
      </c>
      <c r="F10" s="1" t="n">
        <v>1032</v>
      </c>
      <c r="G10" s="1" t="n">
        <v>946</v>
      </c>
      <c r="H10" s="46" t="s">
        <v>485</v>
      </c>
      <c r="I10" s="46" t="s">
        <v>486</v>
      </c>
    </row>
    <row r="11" customFormat="false" ht="34.4" hidden="false" customHeight="false" outlineLevel="0" collapsed="false">
      <c r="A11" s="1" t="s">
        <v>479</v>
      </c>
      <c r="B11" s="1" t="s">
        <v>480</v>
      </c>
      <c r="C11" s="1" t="s">
        <v>99</v>
      </c>
      <c r="D11" s="1" t="n">
        <v>6.5</v>
      </c>
      <c r="E11" s="1" t="n">
        <v>5.1</v>
      </c>
      <c r="F11" s="1" t="n">
        <v>1027</v>
      </c>
      <c r="G11" s="1" t="n">
        <v>908</v>
      </c>
      <c r="H11" s="46" t="s">
        <v>487</v>
      </c>
      <c r="I11" s="46" t="s">
        <v>485</v>
      </c>
    </row>
    <row r="12" customFormat="false" ht="23.3" hidden="false" customHeight="false" outlineLevel="0" collapsed="false">
      <c r="A12" s="1" t="s">
        <v>479</v>
      </c>
      <c r="B12" s="1" t="s">
        <v>480</v>
      </c>
      <c r="C12" s="1" t="s">
        <v>98</v>
      </c>
      <c r="D12" s="1" t="n">
        <v>7.64</v>
      </c>
      <c r="E12" s="1" t="n">
        <v>6.2</v>
      </c>
      <c r="F12" s="1" t="n">
        <v>898</v>
      </c>
      <c r="G12" s="1" t="n">
        <v>814</v>
      </c>
      <c r="H12" s="46" t="s">
        <v>488</v>
      </c>
      <c r="I12" s="46" t="s">
        <v>489</v>
      </c>
    </row>
    <row r="13" customFormat="false" ht="23.3" hidden="false" customHeight="false" outlineLevel="0" collapsed="false">
      <c r="A13" s="1" t="s">
        <v>479</v>
      </c>
      <c r="B13" s="1" t="s">
        <v>480</v>
      </c>
      <c r="C13" s="1" t="s">
        <v>101</v>
      </c>
      <c r="D13" s="1" t="n">
        <v>6.74</v>
      </c>
      <c r="E13" s="1" t="n">
        <v>5.36</v>
      </c>
      <c r="F13" s="1" t="n">
        <v>1.2</v>
      </c>
      <c r="G13" s="1" t="n">
        <v>1.27</v>
      </c>
      <c r="H13" s="46" t="s">
        <v>490</v>
      </c>
      <c r="I13" s="45" t="n">
        <v>0.06</v>
      </c>
    </row>
    <row r="14" customFormat="false" ht="23.3" hidden="false" customHeight="false" outlineLevel="0" collapsed="false">
      <c r="A14" s="1" t="s">
        <v>479</v>
      </c>
      <c r="B14" s="1" t="s">
        <v>480</v>
      </c>
      <c r="C14" s="1" t="s">
        <v>103</v>
      </c>
      <c r="D14" s="1" t="n">
        <v>21.88</v>
      </c>
      <c r="E14" s="1" t="n">
        <v>13.64</v>
      </c>
      <c r="F14" s="1" t="n">
        <v>1.4</v>
      </c>
      <c r="G14" s="1" t="n">
        <v>1.5</v>
      </c>
      <c r="H14" s="46" t="s">
        <v>491</v>
      </c>
      <c r="I14" s="45" t="s">
        <v>492</v>
      </c>
    </row>
    <row r="15" customFormat="false" ht="23.3" hidden="false" customHeight="false" outlineLevel="0" collapsed="false">
      <c r="A15" s="1" t="s">
        <v>479</v>
      </c>
      <c r="B15" s="1" t="s">
        <v>480</v>
      </c>
      <c r="C15" s="1" t="s">
        <v>91</v>
      </c>
      <c r="D15" s="1" t="n">
        <v>6.05</v>
      </c>
      <c r="E15" s="1" t="n">
        <v>4.63</v>
      </c>
      <c r="F15" s="1" t="n">
        <v>0.98</v>
      </c>
      <c r="G15" s="1" t="n">
        <v>0.89</v>
      </c>
      <c r="H15" s="46" t="s">
        <v>493</v>
      </c>
      <c r="I15" s="46" t="s">
        <v>494</v>
      </c>
    </row>
    <row r="16" customFormat="false" ht="23.3" hidden="false" customHeight="false" outlineLevel="0" collapsed="false">
      <c r="A16" s="1" t="s">
        <v>479</v>
      </c>
      <c r="B16" s="1" t="s">
        <v>480</v>
      </c>
      <c r="C16" s="1" t="s">
        <v>95</v>
      </c>
      <c r="D16" s="1" t="n">
        <v>9.4</v>
      </c>
      <c r="E16" s="1" t="n">
        <v>6.3</v>
      </c>
      <c r="F16" s="1" t="n">
        <v>1.3</v>
      </c>
      <c r="G16" s="1" t="n">
        <v>1.3</v>
      </c>
      <c r="H16" s="46" t="s">
        <v>495</v>
      </c>
      <c r="I16" s="45" t="n">
        <v>0</v>
      </c>
    </row>
    <row r="17" customFormat="false" ht="23.3" hidden="false" customHeight="false" outlineLevel="0" collapsed="false">
      <c r="A17" s="1" t="s">
        <v>479</v>
      </c>
      <c r="B17" s="1" t="s">
        <v>480</v>
      </c>
      <c r="C17" s="1" t="s">
        <v>102</v>
      </c>
      <c r="D17" s="1" t="n">
        <v>25.8</v>
      </c>
      <c r="E17" s="1" t="n">
        <v>11.5</v>
      </c>
      <c r="F17" s="1" t="n">
        <v>1.24</v>
      </c>
      <c r="G17" s="1" t="n">
        <v>1.37</v>
      </c>
      <c r="H17" s="46" t="s">
        <v>496</v>
      </c>
      <c r="I17" s="45" t="n">
        <v>0.1</v>
      </c>
    </row>
    <row r="18" customFormat="false" ht="26.15" hidden="false" customHeight="false" outlineLevel="0" collapsed="false">
      <c r="A18" s="18" t="s">
        <v>479</v>
      </c>
      <c r="B18" s="18" t="s">
        <v>497</v>
      </c>
      <c r="C18" s="18" t="s">
        <v>119</v>
      </c>
      <c r="D18" s="4" t="s">
        <v>498</v>
      </c>
      <c r="E18" s="4" t="s">
        <v>499</v>
      </c>
      <c r="F18" s="4" t="s">
        <v>500</v>
      </c>
      <c r="G18" s="4" t="s">
        <v>501</v>
      </c>
      <c r="H18" s="47" t="n">
        <v>-0.57</v>
      </c>
      <c r="I18" s="47" t="n">
        <v>-0.15</v>
      </c>
    </row>
    <row r="19" customFormat="false" ht="26.15" hidden="false" customHeight="false" outlineLevel="0" collapsed="false">
      <c r="A19" s="18" t="s">
        <v>479</v>
      </c>
      <c r="B19" s="18" t="s">
        <v>502</v>
      </c>
      <c r="C19" s="18" t="s">
        <v>91</v>
      </c>
      <c r="D19" s="4" t="s">
        <v>503</v>
      </c>
      <c r="E19" s="4" t="s">
        <v>504</v>
      </c>
      <c r="F19" s="4" t="s">
        <v>499</v>
      </c>
      <c r="G19" s="4" t="s">
        <v>505</v>
      </c>
      <c r="H19" s="4" t="n">
        <v>-0.05</v>
      </c>
      <c r="I19" s="47" t="n">
        <v>0.73</v>
      </c>
    </row>
    <row r="20" customFormat="false" ht="27" hidden="false" customHeight="false" outlineLevel="0" collapsed="false">
      <c r="A20" s="18" t="s">
        <v>479</v>
      </c>
      <c r="B20" s="18" t="s">
        <v>506</v>
      </c>
      <c r="C20" s="18" t="s">
        <v>143</v>
      </c>
      <c r="D20" s="18" t="s">
        <v>507</v>
      </c>
      <c r="E20" s="18" t="s">
        <v>508</v>
      </c>
      <c r="F20" s="18" t="s">
        <v>509</v>
      </c>
      <c r="G20" s="18" t="s">
        <v>510</v>
      </c>
      <c r="H20" s="48" t="n">
        <v>-0.82</v>
      </c>
      <c r="I20" s="48" t="n">
        <v>-0.18</v>
      </c>
    </row>
    <row r="21" customFormat="false" ht="27" hidden="false" customHeight="false" outlineLevel="0" collapsed="false">
      <c r="A21" s="18" t="s">
        <v>479</v>
      </c>
      <c r="B21" s="18" t="s">
        <v>511</v>
      </c>
      <c r="C21" s="18" t="s">
        <v>143</v>
      </c>
      <c r="D21" s="18" t="s">
        <v>512</v>
      </c>
      <c r="E21" s="18" t="s">
        <v>513</v>
      </c>
      <c r="F21" s="18" t="s">
        <v>514</v>
      </c>
      <c r="G21" s="18" t="s">
        <v>515</v>
      </c>
      <c r="H21" s="48" t="n">
        <v>-0.72</v>
      </c>
      <c r="I21" s="48" t="n">
        <v>0.17</v>
      </c>
      <c r="J21" s="18"/>
      <c r="K21" s="18"/>
      <c r="L21" s="18"/>
      <c r="M21" s="48"/>
      <c r="N21" s="49"/>
    </row>
    <row r="22" customFormat="false" ht="15.8" hidden="false" customHeight="false" outlineLevel="0" collapsed="false">
      <c r="D22" s="18"/>
      <c r="E22" s="18"/>
      <c r="F22" s="18"/>
      <c r="G22" s="18"/>
      <c r="H22" s="18"/>
      <c r="I22" s="18"/>
      <c r="J22" s="18"/>
      <c r="K22" s="18"/>
      <c r="L22" s="18"/>
      <c r="M22" s="48"/>
      <c r="N22" s="4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2"/>
  <sheetViews>
    <sheetView showFormulas="false" showGridLines="true" showRowColHeaders="true" showZeros="true" rightToLeft="false" tabSelected="false" showOutlineSymbols="true" defaultGridColor="true" view="normal" topLeftCell="A241" colorId="64" zoomScale="65" zoomScaleNormal="65" zoomScalePageLayoutView="100" workbookViewId="0">
      <selection pane="topLeft" activeCell="G140" activeCellId="0" sqref="G140"/>
    </sheetView>
  </sheetViews>
  <sheetFormatPr defaultColWidth="21.6328125" defaultRowHeight="12.8" zeroHeight="false" outlineLevelRow="0" outlineLevelCol="0"/>
  <cols>
    <col collapsed="false" customWidth="false" hidden="false" outlineLevel="0" max="7" min="7" style="13" width="21.63"/>
  </cols>
  <sheetData>
    <row r="1" customFormat="false" ht="42.75" hidden="false" customHeight="false" outlineLevel="0" collapsed="false">
      <c r="A1" s="50" t="s">
        <v>516</v>
      </c>
      <c r="B1" s="50" t="s">
        <v>517</v>
      </c>
      <c r="C1" s="50" t="s">
        <v>518</v>
      </c>
      <c r="D1" s="50" t="s">
        <v>327</v>
      </c>
      <c r="E1" s="50" t="s">
        <v>519</v>
      </c>
      <c r="F1" s="50" t="s">
        <v>520</v>
      </c>
      <c r="G1" s="51" t="s">
        <v>521</v>
      </c>
      <c r="H1" s="50" t="s">
        <v>522</v>
      </c>
      <c r="I1" s="50" t="s">
        <v>523</v>
      </c>
      <c r="J1" s="50" t="s">
        <v>524</v>
      </c>
    </row>
    <row r="2" customFormat="false" ht="12.8" hidden="false" customHeight="false" outlineLevel="0" collapsed="false">
      <c r="A2" s="8" t="s">
        <v>525</v>
      </c>
      <c r="B2" s="8" t="s">
        <v>526</v>
      </c>
      <c r="C2" s="8" t="s">
        <v>480</v>
      </c>
      <c r="D2" s="8" t="s">
        <v>124</v>
      </c>
      <c r="E2" s="8" t="n">
        <v>2002</v>
      </c>
      <c r="F2" s="8" t="s">
        <v>527</v>
      </c>
      <c r="G2" s="17" t="n">
        <v>0.54</v>
      </c>
      <c r="H2" s="8" t="s">
        <v>528</v>
      </c>
      <c r="I2" s="8" t="s">
        <v>529</v>
      </c>
      <c r="J2" s="8" t="n">
        <v>62</v>
      </c>
    </row>
    <row r="3" customFormat="false" ht="12.8" hidden="false" customHeight="false" outlineLevel="0" collapsed="false">
      <c r="A3" s="8" t="s">
        <v>525</v>
      </c>
      <c r="B3" s="8" t="s">
        <v>526</v>
      </c>
      <c r="C3" s="8" t="s">
        <v>480</v>
      </c>
      <c r="D3" s="8" t="s">
        <v>124</v>
      </c>
      <c r="E3" s="8" t="n">
        <v>2002</v>
      </c>
      <c r="F3" s="8" t="s">
        <v>527</v>
      </c>
      <c r="G3" s="17" t="n">
        <v>0.55</v>
      </c>
      <c r="H3" s="8" t="s">
        <v>530</v>
      </c>
      <c r="I3" s="8" t="s">
        <v>529</v>
      </c>
      <c r="J3" s="8" t="n">
        <v>63</v>
      </c>
    </row>
    <row r="4" customFormat="false" ht="12.8" hidden="false" customHeight="false" outlineLevel="0" collapsed="false">
      <c r="A4" s="8" t="s">
        <v>525</v>
      </c>
      <c r="B4" s="8" t="s">
        <v>526</v>
      </c>
      <c r="C4" s="8" t="s">
        <v>480</v>
      </c>
      <c r="D4" s="8" t="s">
        <v>124</v>
      </c>
      <c r="E4" s="8" t="n">
        <v>2002</v>
      </c>
      <c r="F4" s="8" t="s">
        <v>527</v>
      </c>
      <c r="G4" s="17" t="n">
        <v>0.62</v>
      </c>
      <c r="H4" s="8" t="s">
        <v>531</v>
      </c>
      <c r="I4" s="8" t="s">
        <v>529</v>
      </c>
      <c r="J4" s="8" t="n">
        <v>64</v>
      </c>
    </row>
    <row r="5" customFormat="false" ht="12.8" hidden="false" customHeight="false" outlineLevel="0" collapsed="false">
      <c r="A5" s="8" t="s">
        <v>525</v>
      </c>
      <c r="B5" s="8" t="s">
        <v>526</v>
      </c>
      <c r="C5" s="8" t="s">
        <v>480</v>
      </c>
      <c r="D5" s="8" t="s">
        <v>126</v>
      </c>
      <c r="E5" s="8" t="n">
        <v>2013</v>
      </c>
      <c r="F5" s="8" t="s">
        <v>527</v>
      </c>
      <c r="G5" s="17" t="n">
        <v>0.74</v>
      </c>
      <c r="I5" s="8" t="s">
        <v>532</v>
      </c>
      <c r="J5" s="8" t="n">
        <v>65</v>
      </c>
    </row>
    <row r="6" customFormat="false" ht="12.8" hidden="false" customHeight="false" outlineLevel="0" collapsed="false">
      <c r="A6" s="8" t="s">
        <v>525</v>
      </c>
      <c r="B6" s="8" t="s">
        <v>526</v>
      </c>
      <c r="C6" s="8" t="s">
        <v>480</v>
      </c>
      <c r="D6" s="8" t="s">
        <v>95</v>
      </c>
      <c r="E6" s="8" t="n">
        <v>2013</v>
      </c>
      <c r="F6" s="8" t="s">
        <v>527</v>
      </c>
      <c r="G6" s="17" t="n">
        <v>0.74</v>
      </c>
      <c r="H6" s="8" t="s">
        <v>533</v>
      </c>
      <c r="I6" s="8" t="s">
        <v>534</v>
      </c>
      <c r="J6" s="8" t="n">
        <v>66</v>
      </c>
    </row>
    <row r="7" customFormat="false" ht="12.8" hidden="false" customHeight="false" outlineLevel="0" collapsed="false">
      <c r="A7" s="8" t="s">
        <v>525</v>
      </c>
      <c r="B7" s="8" t="s">
        <v>526</v>
      </c>
      <c r="C7" s="8" t="s">
        <v>480</v>
      </c>
      <c r="D7" s="8" t="s">
        <v>127</v>
      </c>
      <c r="E7" s="8" t="n">
        <v>2013</v>
      </c>
      <c r="F7" s="8" t="s">
        <v>527</v>
      </c>
      <c r="G7" s="17" t="n">
        <v>0.75</v>
      </c>
      <c r="I7" s="8" t="s">
        <v>535</v>
      </c>
      <c r="J7" s="8" t="n">
        <v>67</v>
      </c>
    </row>
    <row r="8" customFormat="false" ht="12.8" hidden="false" customHeight="false" outlineLevel="0" collapsed="false">
      <c r="A8" s="8" t="s">
        <v>525</v>
      </c>
      <c r="B8" s="8" t="s">
        <v>526</v>
      </c>
      <c r="C8" s="8" t="s">
        <v>480</v>
      </c>
      <c r="D8" s="8" t="s">
        <v>126</v>
      </c>
      <c r="E8" s="8" t="n">
        <v>2013</v>
      </c>
      <c r="F8" s="8" t="s">
        <v>527</v>
      </c>
      <c r="G8" s="17" t="n">
        <v>0.75</v>
      </c>
      <c r="I8" s="8" t="s">
        <v>532</v>
      </c>
      <c r="J8" s="8" t="n">
        <v>68</v>
      </c>
    </row>
    <row r="9" customFormat="false" ht="12.8" hidden="false" customHeight="false" outlineLevel="0" collapsed="false">
      <c r="A9" s="8" t="s">
        <v>525</v>
      </c>
      <c r="B9" s="8" t="s">
        <v>526</v>
      </c>
      <c r="C9" s="8" t="s">
        <v>480</v>
      </c>
      <c r="D9" s="8" t="s">
        <v>119</v>
      </c>
      <c r="E9" s="8" t="n">
        <v>2014</v>
      </c>
      <c r="F9" s="8" t="s">
        <v>527</v>
      </c>
      <c r="G9" s="17" t="n">
        <v>0.75264</v>
      </c>
      <c r="I9" s="8" t="s">
        <v>536</v>
      </c>
      <c r="J9" s="8" t="n">
        <v>69</v>
      </c>
    </row>
    <row r="10" customFormat="false" ht="12.8" hidden="false" customHeight="false" outlineLevel="0" collapsed="false">
      <c r="A10" s="8" t="s">
        <v>525</v>
      </c>
      <c r="B10" s="8" t="s">
        <v>526</v>
      </c>
      <c r="C10" s="8" t="s">
        <v>480</v>
      </c>
      <c r="D10" s="8" t="s">
        <v>103</v>
      </c>
      <c r="E10" s="8" t="n">
        <v>2005</v>
      </c>
      <c r="F10" s="8" t="s">
        <v>527</v>
      </c>
      <c r="G10" s="17" t="n">
        <v>0.77</v>
      </c>
      <c r="I10" s="8" t="s">
        <v>537</v>
      </c>
      <c r="J10" s="8" t="n">
        <v>70</v>
      </c>
    </row>
    <row r="11" customFormat="false" ht="12.8" hidden="false" customHeight="false" outlineLevel="0" collapsed="false">
      <c r="A11" s="8" t="s">
        <v>525</v>
      </c>
      <c r="B11" s="8" t="s">
        <v>526</v>
      </c>
      <c r="C11" s="8" t="s">
        <v>480</v>
      </c>
      <c r="D11" s="8" t="s">
        <v>477</v>
      </c>
      <c r="E11" s="8" t="n">
        <v>2014</v>
      </c>
      <c r="F11" s="8" t="s">
        <v>527</v>
      </c>
      <c r="G11" s="17" t="n">
        <v>0.78648</v>
      </c>
      <c r="I11" s="8" t="s">
        <v>536</v>
      </c>
      <c r="J11" s="8" t="n">
        <v>71</v>
      </c>
    </row>
    <row r="12" customFormat="false" ht="12.8" hidden="false" customHeight="false" outlineLevel="0" collapsed="false">
      <c r="A12" s="8" t="s">
        <v>525</v>
      </c>
      <c r="B12" s="8" t="s">
        <v>526</v>
      </c>
      <c r="C12" s="8" t="s">
        <v>480</v>
      </c>
      <c r="D12" s="8" t="s">
        <v>103</v>
      </c>
      <c r="E12" s="8" t="n">
        <v>2005</v>
      </c>
      <c r="F12" s="8" t="s">
        <v>527</v>
      </c>
      <c r="G12" s="17" t="n">
        <v>0.84</v>
      </c>
      <c r="I12" s="8" t="s">
        <v>537</v>
      </c>
      <c r="J12" s="8" t="n">
        <v>72</v>
      </c>
    </row>
    <row r="13" customFormat="false" ht="12.8" hidden="false" customHeight="false" outlineLevel="0" collapsed="false">
      <c r="A13" s="8" t="s">
        <v>525</v>
      </c>
      <c r="B13" s="8" t="s">
        <v>526</v>
      </c>
      <c r="C13" s="8" t="s">
        <v>480</v>
      </c>
      <c r="D13" s="8" t="s">
        <v>101</v>
      </c>
      <c r="E13" s="8" t="n">
        <v>2004</v>
      </c>
      <c r="F13" s="8" t="s">
        <v>538</v>
      </c>
      <c r="G13" s="17" t="n">
        <v>0.866</v>
      </c>
      <c r="H13" s="8" t="s">
        <v>539</v>
      </c>
      <c r="I13" s="8" t="s">
        <v>540</v>
      </c>
      <c r="J13" s="8" t="n">
        <v>73</v>
      </c>
    </row>
    <row r="14" customFormat="false" ht="12.8" hidden="false" customHeight="false" outlineLevel="0" collapsed="false">
      <c r="A14" s="8" t="s">
        <v>525</v>
      </c>
      <c r="B14" s="8" t="s">
        <v>526</v>
      </c>
      <c r="C14" s="8" t="s">
        <v>480</v>
      </c>
      <c r="D14" s="8" t="s">
        <v>126</v>
      </c>
      <c r="E14" s="8" t="n">
        <v>2013</v>
      </c>
      <c r="F14" s="8" t="s">
        <v>527</v>
      </c>
      <c r="G14" s="17" t="n">
        <v>0.87</v>
      </c>
      <c r="I14" s="8" t="s">
        <v>532</v>
      </c>
      <c r="J14" s="8" t="n">
        <v>74</v>
      </c>
    </row>
    <row r="15" customFormat="false" ht="12.8" hidden="false" customHeight="false" outlineLevel="0" collapsed="false">
      <c r="A15" s="8" t="s">
        <v>525</v>
      </c>
      <c r="B15" s="8" t="s">
        <v>526</v>
      </c>
      <c r="C15" s="8" t="s">
        <v>480</v>
      </c>
      <c r="D15" s="8" t="s">
        <v>101</v>
      </c>
      <c r="E15" s="8" t="n">
        <v>2004</v>
      </c>
      <c r="F15" s="8" t="s">
        <v>538</v>
      </c>
      <c r="G15" s="17" t="n">
        <v>0.894</v>
      </c>
      <c r="H15" s="8" t="s">
        <v>541</v>
      </c>
      <c r="I15" s="8" t="s">
        <v>540</v>
      </c>
      <c r="J15" s="8" t="n">
        <v>75</v>
      </c>
    </row>
    <row r="16" customFormat="false" ht="12.8" hidden="false" customHeight="false" outlineLevel="0" collapsed="false">
      <c r="A16" s="8" t="s">
        <v>525</v>
      </c>
      <c r="B16" s="8" t="s">
        <v>526</v>
      </c>
      <c r="C16" s="8" t="s">
        <v>480</v>
      </c>
      <c r="D16" s="8" t="s">
        <v>542</v>
      </c>
      <c r="E16" s="8" t="n">
        <v>2007</v>
      </c>
      <c r="F16" s="8" t="s">
        <v>538</v>
      </c>
      <c r="G16" s="17" t="n">
        <v>0.94</v>
      </c>
      <c r="I16" s="8" t="s">
        <v>543</v>
      </c>
      <c r="J16" s="8" t="n">
        <v>76</v>
      </c>
    </row>
    <row r="17" customFormat="false" ht="12.8" hidden="false" customHeight="false" outlineLevel="0" collapsed="false">
      <c r="A17" s="8" t="s">
        <v>525</v>
      </c>
      <c r="B17" s="8" t="s">
        <v>526</v>
      </c>
      <c r="C17" s="8" t="s">
        <v>480</v>
      </c>
      <c r="D17" s="8" t="s">
        <v>91</v>
      </c>
      <c r="E17" s="8" t="n">
        <v>2014</v>
      </c>
      <c r="F17" s="8" t="s">
        <v>544</v>
      </c>
      <c r="G17" s="17" t="n">
        <v>0.94</v>
      </c>
      <c r="H17" s="8" t="s">
        <v>545</v>
      </c>
      <c r="I17" s="8" t="s">
        <v>546</v>
      </c>
      <c r="J17" s="8" t="n">
        <v>77</v>
      </c>
    </row>
    <row r="18" customFormat="false" ht="12.8" hidden="false" customHeight="false" outlineLevel="0" collapsed="false">
      <c r="A18" s="8" t="s">
        <v>525</v>
      </c>
      <c r="B18" s="8" t="s">
        <v>526</v>
      </c>
      <c r="C18" s="8" t="s">
        <v>480</v>
      </c>
      <c r="D18" s="8" t="s">
        <v>131</v>
      </c>
      <c r="E18" s="8" t="n">
        <v>2007</v>
      </c>
      <c r="F18" s="8" t="s">
        <v>538</v>
      </c>
      <c r="G18" s="17" t="n">
        <v>0.95</v>
      </c>
      <c r="H18" s="8" t="s">
        <v>547</v>
      </c>
      <c r="I18" s="8" t="s">
        <v>543</v>
      </c>
      <c r="J18" s="8" t="n">
        <v>78</v>
      </c>
    </row>
    <row r="19" customFormat="false" ht="12.8" hidden="false" customHeight="false" outlineLevel="0" collapsed="false">
      <c r="A19" s="8" t="s">
        <v>525</v>
      </c>
      <c r="B19" s="8" t="s">
        <v>526</v>
      </c>
      <c r="C19" s="8" t="s">
        <v>480</v>
      </c>
      <c r="D19" s="8" t="s">
        <v>119</v>
      </c>
      <c r="E19" s="8" t="n">
        <v>2014</v>
      </c>
      <c r="F19" s="8" t="s">
        <v>527</v>
      </c>
      <c r="G19" s="17" t="n">
        <v>0.977</v>
      </c>
      <c r="I19" s="8" t="s">
        <v>536</v>
      </c>
      <c r="J19" s="8" t="n">
        <v>79</v>
      </c>
    </row>
    <row r="20" customFormat="false" ht="12.8" hidden="false" customHeight="false" outlineLevel="0" collapsed="false">
      <c r="A20" s="8" t="s">
        <v>525</v>
      </c>
      <c r="B20" s="8" t="s">
        <v>526</v>
      </c>
      <c r="C20" s="8" t="s">
        <v>480</v>
      </c>
      <c r="D20" s="8" t="s">
        <v>119</v>
      </c>
      <c r="E20" s="8" t="n">
        <v>2014</v>
      </c>
      <c r="F20" s="8" t="s">
        <v>527</v>
      </c>
      <c r="G20" s="17" t="n">
        <v>0.980908</v>
      </c>
      <c r="I20" s="8" t="s">
        <v>536</v>
      </c>
      <c r="J20" s="8" t="n">
        <v>80</v>
      </c>
    </row>
    <row r="21" customFormat="false" ht="12.8" hidden="false" customHeight="false" outlineLevel="0" collapsed="false">
      <c r="A21" s="8" t="s">
        <v>525</v>
      </c>
      <c r="B21" s="8" t="s">
        <v>526</v>
      </c>
      <c r="C21" s="8" t="s">
        <v>480</v>
      </c>
      <c r="D21" s="8" t="s">
        <v>91</v>
      </c>
      <c r="E21" s="8" t="n">
        <v>2013</v>
      </c>
      <c r="F21" s="8" t="s">
        <v>527</v>
      </c>
      <c r="G21" s="17" t="n">
        <v>0.99</v>
      </c>
      <c r="H21" s="8" t="s">
        <v>548</v>
      </c>
      <c r="I21" s="8" t="s">
        <v>549</v>
      </c>
      <c r="J21" s="8" t="n">
        <v>81</v>
      </c>
    </row>
    <row r="22" customFormat="false" ht="12.8" hidden="false" customHeight="false" outlineLevel="0" collapsed="false">
      <c r="A22" s="8" t="s">
        <v>525</v>
      </c>
      <c r="B22" s="8" t="s">
        <v>526</v>
      </c>
      <c r="C22" s="8" t="s">
        <v>480</v>
      </c>
      <c r="D22" s="8" t="s">
        <v>477</v>
      </c>
      <c r="E22" s="8" t="n">
        <v>2012</v>
      </c>
      <c r="F22" s="8" t="s">
        <v>527</v>
      </c>
      <c r="G22" s="17" t="n">
        <v>1.01</v>
      </c>
      <c r="I22" s="8" t="s">
        <v>550</v>
      </c>
      <c r="J22" s="8" t="n">
        <v>82</v>
      </c>
    </row>
    <row r="23" customFormat="false" ht="12.8" hidden="false" customHeight="false" outlineLevel="0" collapsed="false">
      <c r="A23" s="8" t="s">
        <v>525</v>
      </c>
      <c r="B23" s="8" t="s">
        <v>526</v>
      </c>
      <c r="C23" s="8" t="s">
        <v>480</v>
      </c>
      <c r="D23" s="8" t="s">
        <v>103</v>
      </c>
      <c r="E23" s="8" t="n">
        <v>2013</v>
      </c>
      <c r="F23" s="8" t="s">
        <v>527</v>
      </c>
      <c r="G23" s="17" t="n">
        <v>1.01</v>
      </c>
      <c r="H23" s="8" t="s">
        <v>551</v>
      </c>
      <c r="I23" s="8" t="s">
        <v>552</v>
      </c>
      <c r="J23" s="8" t="n">
        <v>83</v>
      </c>
    </row>
    <row r="24" customFormat="false" ht="12.8" hidden="false" customHeight="false" outlineLevel="0" collapsed="false">
      <c r="A24" s="8" t="s">
        <v>525</v>
      </c>
      <c r="B24" s="8" t="s">
        <v>526</v>
      </c>
      <c r="C24" s="8" t="s">
        <v>480</v>
      </c>
      <c r="D24" s="8" t="s">
        <v>91</v>
      </c>
      <c r="E24" s="8" t="n">
        <v>2013</v>
      </c>
      <c r="F24" s="8" t="s">
        <v>527</v>
      </c>
      <c r="G24" s="17" t="n">
        <v>1.01</v>
      </c>
      <c r="H24" s="8" t="s">
        <v>553</v>
      </c>
      <c r="I24" s="8" t="s">
        <v>549</v>
      </c>
      <c r="J24" s="8" t="n">
        <v>84</v>
      </c>
    </row>
    <row r="25" customFormat="false" ht="12.8" hidden="false" customHeight="false" outlineLevel="0" collapsed="false">
      <c r="A25" s="8" t="s">
        <v>525</v>
      </c>
      <c r="B25" s="8" t="s">
        <v>526</v>
      </c>
      <c r="C25" s="8" t="s">
        <v>480</v>
      </c>
      <c r="D25" s="8" t="s">
        <v>119</v>
      </c>
      <c r="E25" s="8" t="n">
        <v>2012</v>
      </c>
      <c r="F25" s="8" t="s">
        <v>527</v>
      </c>
      <c r="G25" s="17" t="n">
        <v>1.0143</v>
      </c>
      <c r="H25" s="8" t="s">
        <v>554</v>
      </c>
      <c r="I25" s="8" t="s">
        <v>555</v>
      </c>
      <c r="J25" s="8" t="n">
        <v>85</v>
      </c>
    </row>
    <row r="26" customFormat="false" ht="12.8" hidden="false" customHeight="false" outlineLevel="0" collapsed="false">
      <c r="A26" s="8" t="s">
        <v>525</v>
      </c>
      <c r="B26" s="8" t="s">
        <v>526</v>
      </c>
      <c r="C26" s="8" t="s">
        <v>480</v>
      </c>
      <c r="D26" s="8" t="s">
        <v>477</v>
      </c>
      <c r="E26" s="8" t="n">
        <v>2012</v>
      </c>
      <c r="F26" s="8" t="s">
        <v>527</v>
      </c>
      <c r="G26" s="17" t="n">
        <v>1.02</v>
      </c>
      <c r="I26" s="8" t="s">
        <v>550</v>
      </c>
      <c r="J26" s="8" t="n">
        <v>86</v>
      </c>
    </row>
    <row r="27" customFormat="false" ht="12.8" hidden="false" customHeight="false" outlineLevel="0" collapsed="false">
      <c r="A27" s="8" t="s">
        <v>525</v>
      </c>
      <c r="B27" s="8" t="s">
        <v>526</v>
      </c>
      <c r="C27" s="8" t="s">
        <v>480</v>
      </c>
      <c r="D27" s="8" t="s">
        <v>556</v>
      </c>
      <c r="E27" s="8" t="n">
        <v>2011</v>
      </c>
      <c r="F27" s="8" t="s">
        <v>527</v>
      </c>
      <c r="G27" s="17" t="n">
        <v>1.02</v>
      </c>
      <c r="I27" s="8" t="s">
        <v>557</v>
      </c>
      <c r="J27" s="8" t="n">
        <v>87</v>
      </c>
    </row>
    <row r="28" customFormat="false" ht="12.8" hidden="false" customHeight="false" outlineLevel="0" collapsed="false">
      <c r="A28" s="8" t="s">
        <v>525</v>
      </c>
      <c r="B28" s="8" t="s">
        <v>526</v>
      </c>
      <c r="C28" s="8" t="s">
        <v>480</v>
      </c>
      <c r="D28" s="8" t="s">
        <v>477</v>
      </c>
      <c r="E28" s="8" t="n">
        <v>2011</v>
      </c>
      <c r="F28" s="8" t="s">
        <v>527</v>
      </c>
      <c r="G28" s="17" t="n">
        <v>1.02</v>
      </c>
      <c r="I28" s="8" t="s">
        <v>557</v>
      </c>
      <c r="J28" s="8" t="n">
        <v>88</v>
      </c>
    </row>
    <row r="29" customFormat="false" ht="12.8" hidden="false" customHeight="false" outlineLevel="0" collapsed="false">
      <c r="A29" s="8" t="s">
        <v>525</v>
      </c>
      <c r="B29" s="8" t="s">
        <v>526</v>
      </c>
      <c r="C29" s="8" t="s">
        <v>480</v>
      </c>
      <c r="D29" s="8" t="s">
        <v>91</v>
      </c>
      <c r="E29" s="8" t="n">
        <v>2010</v>
      </c>
      <c r="F29" s="8" t="s">
        <v>544</v>
      </c>
      <c r="G29" s="17" t="n">
        <v>1.02</v>
      </c>
      <c r="H29" s="8" t="s">
        <v>558</v>
      </c>
      <c r="I29" s="8" t="s">
        <v>559</v>
      </c>
      <c r="J29" s="8" t="n">
        <v>89</v>
      </c>
    </row>
    <row r="30" customFormat="false" ht="12.8" hidden="false" customHeight="false" outlineLevel="0" collapsed="false">
      <c r="A30" s="8" t="s">
        <v>525</v>
      </c>
      <c r="B30" s="8" t="s">
        <v>526</v>
      </c>
      <c r="C30" s="8" t="s">
        <v>480</v>
      </c>
      <c r="D30" s="8" t="s">
        <v>133</v>
      </c>
      <c r="E30" s="8" t="n">
        <v>2014</v>
      </c>
      <c r="F30" s="8" t="s">
        <v>527</v>
      </c>
      <c r="G30" s="17" t="n">
        <v>1.024</v>
      </c>
      <c r="I30" s="8" t="s">
        <v>536</v>
      </c>
      <c r="J30" s="8" t="n">
        <v>90</v>
      </c>
    </row>
    <row r="31" customFormat="false" ht="12.8" hidden="false" customHeight="false" outlineLevel="0" collapsed="false">
      <c r="A31" s="8" t="s">
        <v>525</v>
      </c>
      <c r="B31" s="8" t="s">
        <v>526</v>
      </c>
      <c r="C31" s="8" t="s">
        <v>480</v>
      </c>
      <c r="D31" s="8" t="s">
        <v>132</v>
      </c>
      <c r="E31" s="8" t="n">
        <v>2012</v>
      </c>
      <c r="F31" s="8" t="s">
        <v>544</v>
      </c>
      <c r="G31" s="17" t="n">
        <v>1.03</v>
      </c>
      <c r="H31" s="8" t="s">
        <v>560</v>
      </c>
      <c r="I31" s="8" t="s">
        <v>561</v>
      </c>
      <c r="J31" s="8" t="n">
        <v>91</v>
      </c>
    </row>
    <row r="32" customFormat="false" ht="12.8" hidden="false" customHeight="false" outlineLevel="0" collapsed="false">
      <c r="A32" s="8" t="s">
        <v>525</v>
      </c>
      <c r="B32" s="8" t="s">
        <v>526</v>
      </c>
      <c r="C32" s="8" t="s">
        <v>480</v>
      </c>
      <c r="D32" s="8" t="s">
        <v>477</v>
      </c>
      <c r="E32" s="8" t="n">
        <v>2014</v>
      </c>
      <c r="F32" s="8" t="s">
        <v>527</v>
      </c>
      <c r="G32" s="17" t="n">
        <v>1.038</v>
      </c>
      <c r="I32" s="8" t="s">
        <v>536</v>
      </c>
      <c r="J32" s="8" t="n">
        <v>92</v>
      </c>
    </row>
    <row r="33" customFormat="false" ht="12.8" hidden="false" customHeight="false" outlineLevel="0" collapsed="false">
      <c r="A33" s="8" t="s">
        <v>525</v>
      </c>
      <c r="B33" s="8" t="s">
        <v>526</v>
      </c>
      <c r="C33" s="8" t="s">
        <v>480</v>
      </c>
      <c r="D33" s="8" t="s">
        <v>91</v>
      </c>
      <c r="E33" s="8" t="n">
        <v>2014</v>
      </c>
      <c r="F33" s="8" t="s">
        <v>544</v>
      </c>
      <c r="G33" s="17" t="n">
        <v>1.04</v>
      </c>
      <c r="H33" s="8" t="s">
        <v>562</v>
      </c>
      <c r="I33" s="8" t="s">
        <v>546</v>
      </c>
      <c r="J33" s="8" t="n">
        <v>93</v>
      </c>
    </row>
    <row r="34" customFormat="false" ht="12.8" hidden="false" customHeight="false" outlineLevel="0" collapsed="false">
      <c r="A34" s="8" t="s">
        <v>525</v>
      </c>
      <c r="B34" s="8" t="s">
        <v>526</v>
      </c>
      <c r="C34" s="8" t="s">
        <v>480</v>
      </c>
      <c r="D34" s="8" t="s">
        <v>103</v>
      </c>
      <c r="E34" s="8" t="n">
        <v>2008</v>
      </c>
      <c r="F34" s="8" t="s">
        <v>527</v>
      </c>
      <c r="G34" s="17" t="n">
        <v>1.041</v>
      </c>
      <c r="H34" s="8" t="s">
        <v>563</v>
      </c>
      <c r="I34" s="8" t="s">
        <v>564</v>
      </c>
      <c r="J34" s="8" t="n">
        <v>94</v>
      </c>
    </row>
    <row r="35" customFormat="false" ht="12.8" hidden="false" customHeight="false" outlineLevel="0" collapsed="false">
      <c r="A35" s="8" t="s">
        <v>525</v>
      </c>
      <c r="B35" s="8" t="s">
        <v>526</v>
      </c>
      <c r="C35" s="8" t="s">
        <v>480</v>
      </c>
      <c r="D35" s="8" t="s">
        <v>101</v>
      </c>
      <c r="E35" s="8" t="n">
        <v>2004</v>
      </c>
      <c r="F35" s="8" t="s">
        <v>538</v>
      </c>
      <c r="G35" s="17" t="n">
        <v>1.05</v>
      </c>
      <c r="H35" s="8" t="s">
        <v>565</v>
      </c>
      <c r="I35" s="8" t="s">
        <v>540</v>
      </c>
      <c r="J35" s="8" t="n">
        <v>95</v>
      </c>
    </row>
    <row r="36" customFormat="false" ht="12.8" hidden="false" customHeight="false" outlineLevel="0" collapsed="false">
      <c r="A36" s="8" t="s">
        <v>525</v>
      </c>
      <c r="B36" s="8" t="s">
        <v>526</v>
      </c>
      <c r="C36" s="8" t="s">
        <v>480</v>
      </c>
      <c r="D36" s="8" t="s">
        <v>104</v>
      </c>
      <c r="E36" s="8" t="n">
        <v>2010</v>
      </c>
      <c r="F36" s="8" t="s">
        <v>527</v>
      </c>
      <c r="G36" s="17" t="n">
        <v>1.05</v>
      </c>
      <c r="H36" s="8" t="s">
        <v>566</v>
      </c>
      <c r="I36" s="8" t="s">
        <v>567</v>
      </c>
      <c r="J36" s="8" t="n">
        <v>96</v>
      </c>
    </row>
    <row r="37" customFormat="false" ht="12.8" hidden="false" customHeight="false" outlineLevel="0" collapsed="false">
      <c r="A37" s="8" t="s">
        <v>525</v>
      </c>
      <c r="B37" s="8" t="s">
        <v>526</v>
      </c>
      <c r="C37" s="8" t="s">
        <v>480</v>
      </c>
      <c r="D37" s="8" t="s">
        <v>96</v>
      </c>
      <c r="E37" s="8" t="n">
        <v>2003</v>
      </c>
      <c r="F37" s="8" t="s">
        <v>527</v>
      </c>
      <c r="G37" s="17" t="n">
        <v>1.05</v>
      </c>
      <c r="I37" s="8" t="s">
        <v>568</v>
      </c>
      <c r="J37" s="8" t="n">
        <v>97</v>
      </c>
    </row>
    <row r="38" customFormat="false" ht="12.8" hidden="false" customHeight="false" outlineLevel="0" collapsed="false">
      <c r="A38" s="8" t="s">
        <v>525</v>
      </c>
      <c r="B38" s="8" t="s">
        <v>526</v>
      </c>
      <c r="C38" s="8" t="s">
        <v>480</v>
      </c>
      <c r="D38" s="8" t="s">
        <v>133</v>
      </c>
      <c r="E38" s="8" t="n">
        <v>2007</v>
      </c>
      <c r="F38" s="8" t="s">
        <v>538</v>
      </c>
      <c r="G38" s="17" t="n">
        <v>1.05</v>
      </c>
      <c r="I38" s="8" t="s">
        <v>543</v>
      </c>
      <c r="J38" s="8" t="n">
        <v>98</v>
      </c>
    </row>
    <row r="39" customFormat="false" ht="12.8" hidden="false" customHeight="false" outlineLevel="0" collapsed="false">
      <c r="A39" s="8" t="s">
        <v>525</v>
      </c>
      <c r="B39" s="8" t="s">
        <v>526</v>
      </c>
      <c r="C39" s="8" t="s">
        <v>480</v>
      </c>
      <c r="D39" s="8" t="s">
        <v>477</v>
      </c>
      <c r="E39" s="8" t="n">
        <v>2013</v>
      </c>
      <c r="F39" s="8" t="s">
        <v>527</v>
      </c>
      <c r="G39" s="17" t="n">
        <v>1.06</v>
      </c>
      <c r="I39" s="8" t="s">
        <v>569</v>
      </c>
      <c r="J39" s="8" t="n">
        <v>99</v>
      </c>
    </row>
    <row r="40" customFormat="false" ht="12.8" hidden="false" customHeight="false" outlineLevel="0" collapsed="false">
      <c r="A40" s="8" t="s">
        <v>525</v>
      </c>
      <c r="B40" s="8" t="s">
        <v>526</v>
      </c>
      <c r="C40" s="8" t="s">
        <v>480</v>
      </c>
      <c r="D40" s="8" t="s">
        <v>102</v>
      </c>
      <c r="E40" s="8" t="n">
        <v>2011</v>
      </c>
      <c r="F40" s="8" t="s">
        <v>527</v>
      </c>
      <c r="G40" s="17" t="n">
        <v>1.06</v>
      </c>
      <c r="I40" s="8" t="s">
        <v>557</v>
      </c>
      <c r="J40" s="8" t="n">
        <v>100</v>
      </c>
    </row>
    <row r="41" customFormat="false" ht="12.8" hidden="false" customHeight="false" outlineLevel="0" collapsed="false">
      <c r="A41" s="8" t="s">
        <v>525</v>
      </c>
      <c r="B41" s="8" t="s">
        <v>526</v>
      </c>
      <c r="C41" s="8" t="s">
        <v>480</v>
      </c>
      <c r="D41" s="8" t="s">
        <v>104</v>
      </c>
      <c r="E41" s="8" t="n">
        <v>2010</v>
      </c>
      <c r="F41" s="8" t="s">
        <v>544</v>
      </c>
      <c r="G41" s="17" t="n">
        <v>1.06</v>
      </c>
      <c r="I41" s="8" t="s">
        <v>570</v>
      </c>
      <c r="J41" s="8" t="n">
        <v>101</v>
      </c>
    </row>
    <row r="42" customFormat="false" ht="15" hidden="false" customHeight="false" outlineLevel="0" collapsed="false">
      <c r="A42" s="8" t="s">
        <v>525</v>
      </c>
      <c r="B42" s="8" t="s">
        <v>526</v>
      </c>
      <c r="C42" s="8" t="s">
        <v>480</v>
      </c>
      <c r="D42" s="8" t="s">
        <v>101</v>
      </c>
      <c r="E42" s="8" t="n">
        <v>2012</v>
      </c>
      <c r="F42" s="8" t="s">
        <v>538</v>
      </c>
      <c r="G42" s="17" t="n">
        <v>1.06</v>
      </c>
      <c r="I42" s="8" t="s">
        <v>571</v>
      </c>
      <c r="J42" s="8" t="n">
        <v>102</v>
      </c>
    </row>
    <row r="43" customFormat="false" ht="12.8" hidden="false" customHeight="false" outlineLevel="0" collapsed="false">
      <c r="A43" s="8" t="s">
        <v>525</v>
      </c>
      <c r="B43" s="8" t="s">
        <v>526</v>
      </c>
      <c r="C43" s="8" t="s">
        <v>480</v>
      </c>
      <c r="D43" s="8" t="s">
        <v>133</v>
      </c>
      <c r="E43" s="8" t="n">
        <v>2006</v>
      </c>
      <c r="F43" s="8" t="s">
        <v>538</v>
      </c>
      <c r="G43" s="17" t="n">
        <v>1.06</v>
      </c>
      <c r="I43" s="8" t="s">
        <v>572</v>
      </c>
      <c r="J43" s="8" t="n">
        <v>103</v>
      </c>
    </row>
    <row r="44" customFormat="false" ht="12.8" hidden="false" customHeight="false" outlineLevel="0" collapsed="false">
      <c r="A44" s="8" t="s">
        <v>525</v>
      </c>
      <c r="B44" s="8" t="s">
        <v>526</v>
      </c>
      <c r="C44" s="8" t="s">
        <v>480</v>
      </c>
      <c r="D44" s="8" t="s">
        <v>95</v>
      </c>
      <c r="E44" s="8" t="n">
        <v>2014</v>
      </c>
      <c r="F44" s="8" t="s">
        <v>527</v>
      </c>
      <c r="G44" s="17" t="n">
        <v>1.061</v>
      </c>
      <c r="I44" s="8" t="s">
        <v>573</v>
      </c>
      <c r="J44" s="8" t="n">
        <v>104</v>
      </c>
    </row>
    <row r="45" customFormat="false" ht="12.8" hidden="false" customHeight="false" outlineLevel="0" collapsed="false">
      <c r="A45" s="8" t="s">
        <v>525</v>
      </c>
      <c r="B45" s="8" t="s">
        <v>526</v>
      </c>
      <c r="C45" s="8" t="s">
        <v>480</v>
      </c>
      <c r="D45" s="8" t="s">
        <v>542</v>
      </c>
      <c r="E45" s="8" t="n">
        <v>2009</v>
      </c>
      <c r="F45" s="8" t="s">
        <v>574</v>
      </c>
      <c r="G45" s="17" t="n">
        <v>1.073</v>
      </c>
      <c r="I45" s="8" t="s">
        <v>575</v>
      </c>
      <c r="J45" s="8" t="n">
        <v>105</v>
      </c>
    </row>
    <row r="46" customFormat="false" ht="12.8" hidden="false" customHeight="false" outlineLevel="0" collapsed="false">
      <c r="A46" s="8" t="s">
        <v>525</v>
      </c>
      <c r="B46" s="8" t="s">
        <v>526</v>
      </c>
      <c r="C46" s="8" t="s">
        <v>480</v>
      </c>
      <c r="D46" s="8" t="s">
        <v>91</v>
      </c>
      <c r="E46" s="8" t="n">
        <v>2013</v>
      </c>
      <c r="F46" s="8" t="s">
        <v>527</v>
      </c>
      <c r="G46" s="17" t="n">
        <v>1.08</v>
      </c>
      <c r="H46" s="8" t="s">
        <v>576</v>
      </c>
      <c r="I46" s="8" t="s">
        <v>549</v>
      </c>
      <c r="J46" s="8" t="n">
        <v>106</v>
      </c>
    </row>
    <row r="47" customFormat="false" ht="12.8" hidden="false" customHeight="false" outlineLevel="0" collapsed="false">
      <c r="A47" s="8" t="s">
        <v>525</v>
      </c>
      <c r="B47" s="8" t="s">
        <v>526</v>
      </c>
      <c r="C47" s="8" t="s">
        <v>480</v>
      </c>
      <c r="D47" s="8" t="s">
        <v>101</v>
      </c>
      <c r="E47" s="8" t="n">
        <v>2004</v>
      </c>
      <c r="F47" s="8" t="s">
        <v>538</v>
      </c>
      <c r="G47" s="17" t="n">
        <v>1.083</v>
      </c>
      <c r="H47" s="8" t="s">
        <v>577</v>
      </c>
      <c r="I47" s="8" t="s">
        <v>540</v>
      </c>
      <c r="J47" s="8" t="n">
        <v>107</v>
      </c>
    </row>
    <row r="48" customFormat="false" ht="12.8" hidden="false" customHeight="false" outlineLevel="0" collapsed="false">
      <c r="A48" s="8" t="s">
        <v>525</v>
      </c>
      <c r="B48" s="8" t="s">
        <v>526</v>
      </c>
      <c r="C48" s="8" t="s">
        <v>480</v>
      </c>
      <c r="D48" s="8" t="s">
        <v>131</v>
      </c>
      <c r="E48" s="8" t="n">
        <v>2000</v>
      </c>
      <c r="F48" s="8" t="s">
        <v>527</v>
      </c>
      <c r="G48" s="17" t="n">
        <v>1.09</v>
      </c>
      <c r="H48" s="8" t="s">
        <v>547</v>
      </c>
      <c r="I48" s="8" t="s">
        <v>578</v>
      </c>
      <c r="J48" s="8" t="n">
        <v>108</v>
      </c>
    </row>
    <row r="49" customFormat="false" ht="12.8" hidden="false" customHeight="false" outlineLevel="0" collapsed="false">
      <c r="A49" s="8" t="s">
        <v>525</v>
      </c>
      <c r="B49" s="8" t="s">
        <v>526</v>
      </c>
      <c r="C49" s="8" t="s">
        <v>480</v>
      </c>
      <c r="D49" s="8" t="s">
        <v>104</v>
      </c>
      <c r="E49" s="8" t="n">
        <v>2010</v>
      </c>
      <c r="F49" s="8" t="s">
        <v>527</v>
      </c>
      <c r="G49" s="17" t="n">
        <v>1.09</v>
      </c>
      <c r="H49" s="8" t="s">
        <v>579</v>
      </c>
      <c r="I49" s="8" t="s">
        <v>567</v>
      </c>
      <c r="J49" s="8" t="n">
        <v>109</v>
      </c>
    </row>
    <row r="50" customFormat="false" ht="12.8" hidden="false" customHeight="false" outlineLevel="0" collapsed="false">
      <c r="A50" s="8" t="s">
        <v>525</v>
      </c>
      <c r="B50" s="8" t="s">
        <v>526</v>
      </c>
      <c r="C50" s="8" t="s">
        <v>480</v>
      </c>
      <c r="D50" s="8" t="s">
        <v>153</v>
      </c>
      <c r="E50" s="8" t="n">
        <v>2011</v>
      </c>
      <c r="F50" s="8" t="s">
        <v>527</v>
      </c>
      <c r="G50" s="17" t="n">
        <v>1.1</v>
      </c>
      <c r="I50" s="8" t="s">
        <v>580</v>
      </c>
      <c r="J50" s="8" t="n">
        <v>110</v>
      </c>
    </row>
    <row r="51" customFormat="false" ht="12.8" hidden="false" customHeight="false" outlineLevel="0" collapsed="false">
      <c r="A51" s="8" t="s">
        <v>525</v>
      </c>
      <c r="B51" s="8" t="s">
        <v>526</v>
      </c>
      <c r="C51" s="8" t="s">
        <v>480</v>
      </c>
      <c r="D51" s="8" t="s">
        <v>103</v>
      </c>
      <c r="E51" s="8" t="n">
        <v>2011</v>
      </c>
      <c r="F51" s="8" t="s">
        <v>527</v>
      </c>
      <c r="G51" s="17" t="n">
        <v>1.1</v>
      </c>
      <c r="I51" s="8" t="s">
        <v>557</v>
      </c>
      <c r="J51" s="8" t="n">
        <v>111</v>
      </c>
    </row>
    <row r="52" customFormat="false" ht="12.8" hidden="false" customHeight="false" outlineLevel="0" collapsed="false">
      <c r="A52" s="8" t="s">
        <v>525</v>
      </c>
      <c r="B52" s="8" t="s">
        <v>526</v>
      </c>
      <c r="C52" s="8" t="s">
        <v>480</v>
      </c>
      <c r="D52" s="8" t="s">
        <v>104</v>
      </c>
      <c r="E52" s="8" t="n">
        <v>2010</v>
      </c>
      <c r="F52" s="8" t="s">
        <v>527</v>
      </c>
      <c r="G52" s="17" t="n">
        <v>1.1</v>
      </c>
      <c r="H52" s="8" t="s">
        <v>581</v>
      </c>
      <c r="I52" s="8" t="s">
        <v>567</v>
      </c>
      <c r="J52" s="8" t="n">
        <v>112</v>
      </c>
    </row>
    <row r="53" customFormat="false" ht="12.8" hidden="false" customHeight="false" outlineLevel="0" collapsed="false">
      <c r="A53" s="8" t="s">
        <v>525</v>
      </c>
      <c r="B53" s="8" t="s">
        <v>526</v>
      </c>
      <c r="C53" s="8" t="s">
        <v>480</v>
      </c>
      <c r="D53" s="8" t="s">
        <v>131</v>
      </c>
      <c r="E53" s="8" t="n">
        <v>2007</v>
      </c>
      <c r="F53" s="8" t="s">
        <v>538</v>
      </c>
      <c r="G53" s="17" t="n">
        <v>1.1</v>
      </c>
      <c r="I53" s="8" t="s">
        <v>543</v>
      </c>
      <c r="J53" s="8" t="n">
        <v>113</v>
      </c>
    </row>
    <row r="54" customFormat="false" ht="12.8" hidden="false" customHeight="false" outlineLevel="0" collapsed="false">
      <c r="A54" s="8" t="s">
        <v>525</v>
      </c>
      <c r="B54" s="8" t="s">
        <v>526</v>
      </c>
      <c r="C54" s="8" t="s">
        <v>480</v>
      </c>
      <c r="D54" s="8" t="s">
        <v>91</v>
      </c>
      <c r="E54" s="8" t="n">
        <v>2013</v>
      </c>
      <c r="F54" s="8" t="s">
        <v>527</v>
      </c>
      <c r="G54" s="17" t="n">
        <v>1.1</v>
      </c>
      <c r="H54" s="8" t="s">
        <v>582</v>
      </c>
      <c r="I54" s="8" t="s">
        <v>549</v>
      </c>
      <c r="J54" s="8" t="n">
        <v>114</v>
      </c>
    </row>
    <row r="55" customFormat="false" ht="12.8" hidden="false" customHeight="false" outlineLevel="0" collapsed="false">
      <c r="A55" s="8" t="s">
        <v>525</v>
      </c>
      <c r="B55" s="8" t="s">
        <v>526</v>
      </c>
      <c r="C55" s="8" t="s">
        <v>480</v>
      </c>
      <c r="D55" s="8" t="s">
        <v>477</v>
      </c>
      <c r="E55" s="8" t="n">
        <v>2005</v>
      </c>
      <c r="F55" s="8" t="s">
        <v>583</v>
      </c>
      <c r="G55" s="17" t="n">
        <v>1.10132158590308</v>
      </c>
      <c r="I55" s="8" t="s">
        <v>584</v>
      </c>
      <c r="J55" s="8" t="n">
        <v>115</v>
      </c>
    </row>
    <row r="56" customFormat="false" ht="12.8" hidden="false" customHeight="false" outlineLevel="0" collapsed="false">
      <c r="A56" s="8" t="s">
        <v>525</v>
      </c>
      <c r="B56" s="8" t="s">
        <v>526</v>
      </c>
      <c r="C56" s="8" t="s">
        <v>480</v>
      </c>
      <c r="D56" s="8" t="s">
        <v>133</v>
      </c>
      <c r="E56" s="8" t="n">
        <v>2014</v>
      </c>
      <c r="F56" s="8" t="s">
        <v>527</v>
      </c>
      <c r="G56" s="17" t="n">
        <v>1.107684</v>
      </c>
      <c r="I56" s="8" t="s">
        <v>536</v>
      </c>
      <c r="J56" s="8" t="n">
        <v>116</v>
      </c>
    </row>
    <row r="57" customFormat="false" ht="12.8" hidden="false" customHeight="false" outlineLevel="0" collapsed="false">
      <c r="A57" s="8" t="s">
        <v>525</v>
      </c>
      <c r="B57" s="8" t="s">
        <v>526</v>
      </c>
      <c r="C57" s="8" t="s">
        <v>480</v>
      </c>
      <c r="D57" s="8" t="s">
        <v>91</v>
      </c>
      <c r="E57" s="8" t="n">
        <v>2013</v>
      </c>
      <c r="F57" s="8" t="s">
        <v>527</v>
      </c>
      <c r="G57" s="17" t="n">
        <v>1.11</v>
      </c>
      <c r="H57" s="8" t="s">
        <v>585</v>
      </c>
      <c r="I57" s="8" t="s">
        <v>549</v>
      </c>
      <c r="J57" s="8" t="n">
        <v>117</v>
      </c>
    </row>
    <row r="58" customFormat="false" ht="12.8" hidden="false" customHeight="false" outlineLevel="0" collapsed="false">
      <c r="A58" s="8" t="s">
        <v>525</v>
      </c>
      <c r="B58" s="8" t="s">
        <v>526</v>
      </c>
      <c r="C58" s="8" t="s">
        <v>480</v>
      </c>
      <c r="D58" s="8" t="s">
        <v>91</v>
      </c>
      <c r="E58" s="8" t="n">
        <v>2014</v>
      </c>
      <c r="F58" s="8" t="s">
        <v>544</v>
      </c>
      <c r="G58" s="17" t="n">
        <v>1.11</v>
      </c>
      <c r="H58" s="8" t="s">
        <v>586</v>
      </c>
      <c r="I58" s="8" t="s">
        <v>546</v>
      </c>
      <c r="J58" s="8" t="n">
        <v>118</v>
      </c>
    </row>
    <row r="59" customFormat="false" ht="12.8" hidden="false" customHeight="false" outlineLevel="0" collapsed="false">
      <c r="A59" s="8" t="s">
        <v>525</v>
      </c>
      <c r="B59" s="8" t="s">
        <v>526</v>
      </c>
      <c r="C59" s="8" t="s">
        <v>480</v>
      </c>
      <c r="D59" s="8" t="s">
        <v>104</v>
      </c>
      <c r="E59" s="8" t="n">
        <v>2010</v>
      </c>
      <c r="F59" s="8" t="s">
        <v>527</v>
      </c>
      <c r="G59" s="17" t="n">
        <v>1.115</v>
      </c>
      <c r="H59" s="8" t="s">
        <v>587</v>
      </c>
      <c r="I59" s="8" t="s">
        <v>567</v>
      </c>
      <c r="J59" s="8" t="n">
        <v>119</v>
      </c>
    </row>
    <row r="60" customFormat="false" ht="12.8" hidden="false" customHeight="false" outlineLevel="0" collapsed="false">
      <c r="A60" s="8" t="s">
        <v>525</v>
      </c>
      <c r="B60" s="8" t="s">
        <v>526</v>
      </c>
      <c r="C60" s="8" t="s">
        <v>480</v>
      </c>
      <c r="D60" s="8" t="s">
        <v>477</v>
      </c>
      <c r="E60" s="8" t="n">
        <v>2014</v>
      </c>
      <c r="F60" s="8" t="s">
        <v>527</v>
      </c>
      <c r="G60" s="17" t="n">
        <v>1.134984</v>
      </c>
      <c r="I60" s="8" t="s">
        <v>536</v>
      </c>
      <c r="J60" s="8" t="n">
        <v>120</v>
      </c>
    </row>
    <row r="61" customFormat="false" ht="12.8" hidden="false" customHeight="false" outlineLevel="0" collapsed="false">
      <c r="A61" s="8" t="s">
        <v>525</v>
      </c>
      <c r="B61" s="8" t="s">
        <v>526</v>
      </c>
      <c r="C61" s="8" t="s">
        <v>480</v>
      </c>
      <c r="D61" s="8" t="s">
        <v>101</v>
      </c>
      <c r="E61" s="8" t="n">
        <v>2004</v>
      </c>
      <c r="F61" s="8" t="s">
        <v>538</v>
      </c>
      <c r="G61" s="17" t="n">
        <v>1.138</v>
      </c>
      <c r="H61" s="8" t="s">
        <v>588</v>
      </c>
      <c r="I61" s="8" t="s">
        <v>540</v>
      </c>
      <c r="J61" s="8" t="n">
        <v>121</v>
      </c>
    </row>
    <row r="62" customFormat="false" ht="12.8" hidden="false" customHeight="false" outlineLevel="0" collapsed="false">
      <c r="A62" s="8" t="s">
        <v>525</v>
      </c>
      <c r="B62" s="8" t="s">
        <v>526</v>
      </c>
      <c r="C62" s="8" t="s">
        <v>480</v>
      </c>
      <c r="D62" s="8" t="s">
        <v>542</v>
      </c>
      <c r="E62" s="8" t="n">
        <v>2011</v>
      </c>
      <c r="F62" s="8" t="s">
        <v>527</v>
      </c>
      <c r="G62" s="17" t="n">
        <v>1.138</v>
      </c>
      <c r="I62" s="8" t="s">
        <v>589</v>
      </c>
      <c r="J62" s="8" t="n">
        <v>122</v>
      </c>
    </row>
    <row r="63" customFormat="false" ht="12.8" hidden="false" customHeight="false" outlineLevel="0" collapsed="false">
      <c r="A63" s="8" t="s">
        <v>525</v>
      </c>
      <c r="B63" s="8" t="s">
        <v>526</v>
      </c>
      <c r="C63" s="8" t="s">
        <v>480</v>
      </c>
      <c r="D63" s="8" t="s">
        <v>131</v>
      </c>
      <c r="E63" s="8" t="n">
        <v>2008</v>
      </c>
      <c r="F63" s="8" t="s">
        <v>527</v>
      </c>
      <c r="G63" s="17" t="n">
        <v>1.14</v>
      </c>
      <c r="I63" s="8" t="s">
        <v>590</v>
      </c>
      <c r="J63" s="8" t="n">
        <v>123</v>
      </c>
    </row>
    <row r="64" customFormat="false" ht="12.8" hidden="false" customHeight="false" outlineLevel="0" collapsed="false">
      <c r="A64" s="8" t="s">
        <v>525</v>
      </c>
      <c r="B64" s="8" t="s">
        <v>526</v>
      </c>
      <c r="C64" s="8" t="s">
        <v>480</v>
      </c>
      <c r="D64" s="8" t="s">
        <v>133</v>
      </c>
      <c r="E64" s="8" t="n">
        <v>2012</v>
      </c>
      <c r="F64" s="8" t="s">
        <v>544</v>
      </c>
      <c r="G64" s="17" t="n">
        <v>1.14</v>
      </c>
      <c r="I64" s="8" t="s">
        <v>591</v>
      </c>
      <c r="J64" s="8" t="n">
        <v>124</v>
      </c>
    </row>
    <row r="65" customFormat="false" ht="12.8" hidden="false" customHeight="false" outlineLevel="0" collapsed="false">
      <c r="A65" s="8" t="s">
        <v>525</v>
      </c>
      <c r="B65" s="8" t="s">
        <v>526</v>
      </c>
      <c r="C65" s="8" t="s">
        <v>480</v>
      </c>
      <c r="D65" s="8" t="s">
        <v>542</v>
      </c>
      <c r="E65" s="8" t="n">
        <v>2011</v>
      </c>
      <c r="F65" s="8" t="s">
        <v>527</v>
      </c>
      <c r="G65" s="17" t="n">
        <v>1.14</v>
      </c>
      <c r="I65" s="8" t="s">
        <v>592</v>
      </c>
      <c r="J65" s="8" t="n">
        <v>125</v>
      </c>
    </row>
    <row r="66" customFormat="false" ht="12.8" hidden="false" customHeight="false" outlineLevel="0" collapsed="false">
      <c r="A66" s="8" t="s">
        <v>525</v>
      </c>
      <c r="B66" s="8" t="s">
        <v>526</v>
      </c>
      <c r="C66" s="8" t="s">
        <v>480</v>
      </c>
      <c r="D66" s="8" t="s">
        <v>95</v>
      </c>
      <c r="E66" s="8" t="n">
        <v>2001</v>
      </c>
      <c r="F66" s="8" t="s">
        <v>527</v>
      </c>
      <c r="G66" s="17" t="n">
        <v>1.14</v>
      </c>
      <c r="H66" s="8" t="s">
        <v>593</v>
      </c>
      <c r="I66" s="8" t="s">
        <v>594</v>
      </c>
      <c r="J66" s="8" t="n">
        <v>126</v>
      </c>
    </row>
    <row r="67" customFormat="false" ht="12.8" hidden="false" customHeight="false" outlineLevel="0" collapsed="false">
      <c r="A67" s="8" t="s">
        <v>525</v>
      </c>
      <c r="B67" s="8" t="s">
        <v>526</v>
      </c>
      <c r="C67" s="8" t="s">
        <v>480</v>
      </c>
      <c r="D67" s="8" t="s">
        <v>104</v>
      </c>
      <c r="E67" s="8" t="n">
        <v>2011</v>
      </c>
      <c r="F67" s="8" t="s">
        <v>527</v>
      </c>
      <c r="G67" s="17" t="n">
        <v>1.14</v>
      </c>
      <c r="I67" s="8" t="s">
        <v>557</v>
      </c>
      <c r="J67" s="8" t="n">
        <v>127</v>
      </c>
    </row>
    <row r="68" customFormat="false" ht="12.8" hidden="false" customHeight="false" outlineLevel="0" collapsed="false">
      <c r="A68" s="8" t="s">
        <v>525</v>
      </c>
      <c r="B68" s="8" t="s">
        <v>526</v>
      </c>
      <c r="C68" s="8" t="s">
        <v>480</v>
      </c>
      <c r="D68" s="8" t="s">
        <v>595</v>
      </c>
      <c r="E68" s="8" t="n">
        <v>2011</v>
      </c>
      <c r="F68" s="8" t="s">
        <v>527</v>
      </c>
      <c r="G68" s="17" t="n">
        <v>1.14</v>
      </c>
      <c r="I68" s="8" t="s">
        <v>557</v>
      </c>
      <c r="J68" s="8" t="n">
        <v>128</v>
      </c>
    </row>
    <row r="69" customFormat="false" ht="12.8" hidden="false" customHeight="false" outlineLevel="0" collapsed="false">
      <c r="A69" s="8" t="s">
        <v>525</v>
      </c>
      <c r="B69" s="8" t="s">
        <v>526</v>
      </c>
      <c r="C69" s="8" t="s">
        <v>480</v>
      </c>
      <c r="D69" s="8" t="s">
        <v>101</v>
      </c>
      <c r="E69" s="8" t="n">
        <v>2011</v>
      </c>
      <c r="F69" s="8" t="s">
        <v>527</v>
      </c>
      <c r="G69" s="17" t="n">
        <v>1.14</v>
      </c>
      <c r="I69" s="8" t="s">
        <v>557</v>
      </c>
      <c r="J69" s="8" t="n">
        <v>129</v>
      </c>
    </row>
    <row r="70" customFormat="false" ht="12.8" hidden="false" customHeight="false" outlineLevel="0" collapsed="false">
      <c r="A70" s="8" t="s">
        <v>525</v>
      </c>
      <c r="B70" s="8" t="s">
        <v>526</v>
      </c>
      <c r="C70" s="8" t="s">
        <v>480</v>
      </c>
      <c r="D70" s="8" t="s">
        <v>131</v>
      </c>
      <c r="E70" s="8" t="n">
        <v>2011</v>
      </c>
      <c r="F70" s="8" t="s">
        <v>527</v>
      </c>
      <c r="G70" s="17" t="n">
        <v>1.14</v>
      </c>
      <c r="H70" s="8" t="s">
        <v>596</v>
      </c>
      <c r="I70" s="8" t="s">
        <v>557</v>
      </c>
      <c r="J70" s="8" t="n">
        <v>130</v>
      </c>
    </row>
    <row r="71" customFormat="false" ht="12.8" hidden="false" customHeight="false" outlineLevel="0" collapsed="false">
      <c r="A71" s="8" t="s">
        <v>525</v>
      </c>
      <c r="B71" s="8" t="s">
        <v>526</v>
      </c>
      <c r="C71" s="8" t="s">
        <v>480</v>
      </c>
      <c r="D71" s="8" t="s">
        <v>133</v>
      </c>
      <c r="E71" s="8" t="n">
        <v>2011</v>
      </c>
      <c r="F71" s="8" t="s">
        <v>527</v>
      </c>
      <c r="G71" s="17" t="n">
        <v>1.14</v>
      </c>
      <c r="I71" s="8" t="s">
        <v>557</v>
      </c>
      <c r="J71" s="8" t="n">
        <v>131</v>
      </c>
    </row>
    <row r="72" customFormat="false" ht="12.8" hidden="false" customHeight="false" outlineLevel="0" collapsed="false">
      <c r="A72" s="8" t="s">
        <v>525</v>
      </c>
      <c r="B72" s="8" t="s">
        <v>526</v>
      </c>
      <c r="C72" s="8" t="s">
        <v>480</v>
      </c>
      <c r="D72" s="8" t="s">
        <v>101</v>
      </c>
      <c r="E72" s="8" t="n">
        <v>2011</v>
      </c>
      <c r="F72" s="8" t="s">
        <v>527</v>
      </c>
      <c r="G72" s="17" t="n">
        <v>1.14</v>
      </c>
      <c r="H72" s="8" t="s">
        <v>597</v>
      </c>
      <c r="I72" s="8" t="s">
        <v>598</v>
      </c>
      <c r="J72" s="8" t="n">
        <v>132</v>
      </c>
    </row>
    <row r="73" customFormat="false" ht="12.8" hidden="false" customHeight="false" outlineLevel="0" collapsed="false">
      <c r="A73" s="8" t="s">
        <v>525</v>
      </c>
      <c r="B73" s="8" t="s">
        <v>526</v>
      </c>
      <c r="C73" s="8" t="s">
        <v>480</v>
      </c>
      <c r="D73" s="8" t="s">
        <v>91</v>
      </c>
      <c r="E73" s="8" t="n">
        <v>2012</v>
      </c>
      <c r="F73" s="8" t="s">
        <v>544</v>
      </c>
      <c r="G73" s="17" t="n">
        <v>1.15</v>
      </c>
      <c r="I73" s="8" t="s">
        <v>599</v>
      </c>
      <c r="J73" s="8" t="n">
        <v>133</v>
      </c>
    </row>
    <row r="74" customFormat="false" ht="12.8" hidden="false" customHeight="false" outlineLevel="0" collapsed="false">
      <c r="A74" s="8" t="s">
        <v>525</v>
      </c>
      <c r="B74" s="8" t="s">
        <v>526</v>
      </c>
      <c r="C74" s="8" t="s">
        <v>480</v>
      </c>
      <c r="D74" s="8" t="s">
        <v>170</v>
      </c>
      <c r="E74" s="8" t="n">
        <v>2012</v>
      </c>
      <c r="F74" s="8" t="s">
        <v>544</v>
      </c>
      <c r="G74" s="17" t="n">
        <v>1.15</v>
      </c>
      <c r="I74" s="8" t="s">
        <v>600</v>
      </c>
      <c r="J74" s="8" t="n">
        <v>134</v>
      </c>
    </row>
    <row r="75" customFormat="false" ht="15" hidden="false" customHeight="false" outlineLevel="0" collapsed="false">
      <c r="A75" s="8" t="s">
        <v>525</v>
      </c>
      <c r="B75" s="8" t="s">
        <v>526</v>
      </c>
      <c r="C75" s="8" t="s">
        <v>480</v>
      </c>
      <c r="D75" s="8" t="s">
        <v>131</v>
      </c>
      <c r="E75" s="8" t="n">
        <v>2012</v>
      </c>
      <c r="F75" s="8" t="s">
        <v>538</v>
      </c>
      <c r="G75" s="17" t="n">
        <v>1.15</v>
      </c>
      <c r="I75" s="8" t="s">
        <v>571</v>
      </c>
      <c r="J75" s="8" t="n">
        <v>135</v>
      </c>
    </row>
    <row r="76" customFormat="false" ht="12.8" hidden="false" customHeight="false" outlineLevel="0" collapsed="false">
      <c r="A76" s="8" t="s">
        <v>525</v>
      </c>
      <c r="B76" s="8" t="s">
        <v>526</v>
      </c>
      <c r="C76" s="8" t="s">
        <v>480</v>
      </c>
      <c r="D76" s="8" t="s">
        <v>133</v>
      </c>
      <c r="E76" s="8" t="n">
        <v>2012</v>
      </c>
      <c r="F76" s="8" t="s">
        <v>601</v>
      </c>
      <c r="G76" s="17" t="n">
        <v>1.15</v>
      </c>
      <c r="I76" s="8" t="s">
        <v>602</v>
      </c>
      <c r="J76" s="8" t="n">
        <v>136</v>
      </c>
    </row>
    <row r="77" customFormat="false" ht="12.8" hidden="false" customHeight="false" outlineLevel="0" collapsed="false">
      <c r="A77" s="8" t="s">
        <v>525</v>
      </c>
      <c r="B77" s="8" t="s">
        <v>526</v>
      </c>
      <c r="C77" s="8" t="s">
        <v>480</v>
      </c>
      <c r="D77" s="8" t="s">
        <v>477</v>
      </c>
      <c r="E77" s="8" t="n">
        <v>2015</v>
      </c>
      <c r="F77" s="8" t="s">
        <v>527</v>
      </c>
      <c r="G77" s="17" t="n">
        <v>1.16</v>
      </c>
      <c r="I77" s="8" t="s">
        <v>603</v>
      </c>
      <c r="J77" s="8" t="n">
        <v>137</v>
      </c>
    </row>
    <row r="78" customFormat="false" ht="12.8" hidden="false" customHeight="false" outlineLevel="0" collapsed="false">
      <c r="A78" s="8" t="s">
        <v>525</v>
      </c>
      <c r="B78" s="8" t="s">
        <v>526</v>
      </c>
      <c r="C78" s="8" t="s">
        <v>480</v>
      </c>
      <c r="D78" s="8" t="s">
        <v>127</v>
      </c>
      <c r="E78" s="8" t="n">
        <v>2010</v>
      </c>
      <c r="F78" s="8" t="s">
        <v>527</v>
      </c>
      <c r="G78" s="17" t="n">
        <v>1.161</v>
      </c>
      <c r="I78" s="8" t="s">
        <v>604</v>
      </c>
      <c r="J78" s="8" t="n">
        <v>138</v>
      </c>
    </row>
    <row r="79" customFormat="false" ht="12.8" hidden="false" customHeight="false" outlineLevel="0" collapsed="false">
      <c r="A79" s="8" t="s">
        <v>525</v>
      </c>
      <c r="B79" s="8" t="s">
        <v>526</v>
      </c>
      <c r="C79" s="8" t="s">
        <v>480</v>
      </c>
      <c r="D79" s="8" t="s">
        <v>131</v>
      </c>
      <c r="E79" s="8" t="n">
        <v>2011</v>
      </c>
      <c r="F79" s="8" t="s">
        <v>527</v>
      </c>
      <c r="G79" s="17" t="n">
        <v>1.165</v>
      </c>
      <c r="I79" s="8" t="s">
        <v>598</v>
      </c>
      <c r="J79" s="8" t="n">
        <v>139</v>
      </c>
    </row>
    <row r="80" customFormat="false" ht="12.8" hidden="false" customHeight="false" outlineLevel="0" collapsed="false">
      <c r="A80" s="8" t="s">
        <v>525</v>
      </c>
      <c r="B80" s="8" t="s">
        <v>526</v>
      </c>
      <c r="C80" s="8" t="s">
        <v>480</v>
      </c>
      <c r="D80" s="8" t="s">
        <v>119</v>
      </c>
      <c r="E80" s="8" t="n">
        <v>2012</v>
      </c>
      <c r="F80" s="8" t="s">
        <v>527</v>
      </c>
      <c r="G80" s="17" t="n">
        <v>1.1674</v>
      </c>
      <c r="I80" s="8" t="s">
        <v>555</v>
      </c>
      <c r="J80" s="8" t="n">
        <v>140</v>
      </c>
    </row>
    <row r="81" customFormat="false" ht="12.8" hidden="false" customHeight="false" outlineLevel="0" collapsed="false">
      <c r="A81" s="8" t="s">
        <v>525</v>
      </c>
      <c r="B81" s="8" t="s">
        <v>526</v>
      </c>
      <c r="C81" s="8" t="s">
        <v>480</v>
      </c>
      <c r="D81" s="8" t="s">
        <v>101</v>
      </c>
      <c r="E81" s="8" t="n">
        <v>2004</v>
      </c>
      <c r="F81" s="8" t="s">
        <v>538</v>
      </c>
      <c r="G81" s="17" t="n">
        <v>1.17</v>
      </c>
      <c r="H81" s="8" t="s">
        <v>605</v>
      </c>
      <c r="I81" s="8" t="s">
        <v>540</v>
      </c>
      <c r="J81" s="8" t="n">
        <v>141</v>
      </c>
    </row>
    <row r="82" customFormat="false" ht="12.8" hidden="false" customHeight="false" outlineLevel="0" collapsed="false">
      <c r="A82" s="8" t="s">
        <v>525</v>
      </c>
      <c r="B82" s="8" t="s">
        <v>526</v>
      </c>
      <c r="C82" s="8" t="s">
        <v>480</v>
      </c>
      <c r="D82" s="8" t="s">
        <v>91</v>
      </c>
      <c r="E82" s="8" t="n">
        <v>2010</v>
      </c>
      <c r="F82" s="8" t="s">
        <v>544</v>
      </c>
      <c r="G82" s="17" t="n">
        <v>1.17</v>
      </c>
      <c r="H82" s="8" t="s">
        <v>606</v>
      </c>
      <c r="I82" s="8" t="s">
        <v>559</v>
      </c>
      <c r="J82" s="8" t="n">
        <v>142</v>
      </c>
    </row>
    <row r="83" customFormat="false" ht="12.8" hidden="false" customHeight="false" outlineLevel="0" collapsed="false">
      <c r="A83" s="8" t="s">
        <v>525</v>
      </c>
      <c r="B83" s="8" t="s">
        <v>526</v>
      </c>
      <c r="C83" s="8" t="s">
        <v>480</v>
      </c>
      <c r="D83" s="8" t="s">
        <v>103</v>
      </c>
      <c r="E83" s="8" t="n">
        <v>2009</v>
      </c>
      <c r="F83" s="8" t="s">
        <v>527</v>
      </c>
      <c r="G83" s="17" t="n">
        <v>1.177</v>
      </c>
      <c r="I83" s="8" t="s">
        <v>607</v>
      </c>
      <c r="J83" s="8" t="n">
        <v>143</v>
      </c>
    </row>
    <row r="84" customFormat="false" ht="12.8" hidden="false" customHeight="false" outlineLevel="0" collapsed="false">
      <c r="A84" s="8" t="s">
        <v>525</v>
      </c>
      <c r="B84" s="8" t="s">
        <v>526</v>
      </c>
      <c r="C84" s="8" t="s">
        <v>480</v>
      </c>
      <c r="D84" s="8" t="s">
        <v>91</v>
      </c>
      <c r="E84" s="8" t="n">
        <v>2008</v>
      </c>
      <c r="F84" s="8" t="s">
        <v>538</v>
      </c>
      <c r="G84" s="17" t="n">
        <v>1.18</v>
      </c>
      <c r="H84" s="8" t="s">
        <v>608</v>
      </c>
      <c r="I84" s="8" t="s">
        <v>609</v>
      </c>
      <c r="J84" s="8" t="n">
        <v>144</v>
      </c>
    </row>
    <row r="85" customFormat="false" ht="12.8" hidden="false" customHeight="false" outlineLevel="0" collapsed="false">
      <c r="A85" s="8" t="s">
        <v>525</v>
      </c>
      <c r="B85" s="8" t="s">
        <v>526</v>
      </c>
      <c r="C85" s="8" t="s">
        <v>480</v>
      </c>
      <c r="D85" s="8" t="s">
        <v>170</v>
      </c>
      <c r="E85" s="8" t="n">
        <v>2011</v>
      </c>
      <c r="F85" s="8" t="s">
        <v>527</v>
      </c>
      <c r="G85" s="17" t="n">
        <v>1.18</v>
      </c>
      <c r="I85" s="8" t="s">
        <v>557</v>
      </c>
      <c r="J85" s="8" t="n">
        <v>145</v>
      </c>
    </row>
    <row r="86" customFormat="false" ht="12.8" hidden="false" customHeight="false" outlineLevel="0" collapsed="false">
      <c r="A86" s="8" t="s">
        <v>525</v>
      </c>
      <c r="B86" s="8" t="s">
        <v>526</v>
      </c>
      <c r="C86" s="8" t="s">
        <v>480</v>
      </c>
      <c r="D86" s="8" t="s">
        <v>119</v>
      </c>
      <c r="E86" s="8" t="n">
        <v>2006</v>
      </c>
      <c r="F86" s="8" t="s">
        <v>527</v>
      </c>
      <c r="G86" s="17" t="n">
        <v>1.18</v>
      </c>
      <c r="H86" s="8" t="s">
        <v>610</v>
      </c>
      <c r="I86" s="8" t="s">
        <v>611</v>
      </c>
      <c r="J86" s="8" t="n">
        <v>146</v>
      </c>
    </row>
    <row r="87" customFormat="false" ht="12.8" hidden="false" customHeight="false" outlineLevel="0" collapsed="false">
      <c r="A87" s="8" t="s">
        <v>525</v>
      </c>
      <c r="B87" s="8" t="s">
        <v>526</v>
      </c>
      <c r="C87" s="8" t="s">
        <v>480</v>
      </c>
      <c r="D87" s="8" t="s">
        <v>133</v>
      </c>
      <c r="E87" s="8" t="n">
        <v>2012</v>
      </c>
      <c r="F87" s="8" t="s">
        <v>538</v>
      </c>
      <c r="G87" s="17" t="n">
        <v>1.19</v>
      </c>
      <c r="I87" s="8" t="s">
        <v>612</v>
      </c>
      <c r="J87" s="8" t="n">
        <v>147</v>
      </c>
    </row>
    <row r="88" customFormat="false" ht="12.8" hidden="false" customHeight="false" outlineLevel="0" collapsed="false">
      <c r="A88" s="8" t="s">
        <v>525</v>
      </c>
      <c r="B88" s="8" t="s">
        <v>526</v>
      </c>
      <c r="C88" s="8" t="s">
        <v>480</v>
      </c>
      <c r="D88" s="8" t="s">
        <v>131</v>
      </c>
      <c r="E88" s="8" t="n">
        <v>2003</v>
      </c>
      <c r="F88" s="8" t="s">
        <v>527</v>
      </c>
      <c r="G88" s="17" t="n">
        <v>1.19</v>
      </c>
      <c r="H88" s="8" t="s">
        <v>613</v>
      </c>
      <c r="I88" s="8" t="s">
        <v>614</v>
      </c>
      <c r="J88" s="8" t="n">
        <v>148</v>
      </c>
    </row>
    <row r="89" customFormat="false" ht="12.8" hidden="false" customHeight="false" outlineLevel="0" collapsed="false">
      <c r="A89" s="8" t="s">
        <v>525</v>
      </c>
      <c r="B89" s="8" t="s">
        <v>526</v>
      </c>
      <c r="C89" s="8" t="s">
        <v>480</v>
      </c>
      <c r="D89" s="8" t="s">
        <v>91</v>
      </c>
      <c r="E89" s="8" t="n">
        <v>2014</v>
      </c>
      <c r="F89" s="8" t="s">
        <v>544</v>
      </c>
      <c r="G89" s="17" t="n">
        <v>1.19</v>
      </c>
      <c r="H89" s="8" t="s">
        <v>615</v>
      </c>
      <c r="I89" s="8" t="s">
        <v>546</v>
      </c>
      <c r="J89" s="8" t="n">
        <v>149</v>
      </c>
    </row>
    <row r="90" customFormat="false" ht="12.8" hidden="false" customHeight="false" outlineLevel="0" collapsed="false">
      <c r="A90" s="8" t="s">
        <v>525</v>
      </c>
      <c r="B90" s="8" t="s">
        <v>526</v>
      </c>
      <c r="C90" s="8" t="s">
        <v>480</v>
      </c>
      <c r="D90" s="8" t="s">
        <v>102</v>
      </c>
      <c r="E90" s="8" t="n">
        <v>2012</v>
      </c>
      <c r="F90" s="8" t="s">
        <v>601</v>
      </c>
      <c r="G90" s="17" t="n">
        <v>1.196</v>
      </c>
      <c r="I90" s="8" t="s">
        <v>616</v>
      </c>
      <c r="J90" s="8" t="n">
        <v>150</v>
      </c>
    </row>
    <row r="91" customFormat="false" ht="12.8" hidden="false" customHeight="false" outlineLevel="0" collapsed="false">
      <c r="A91" s="8" t="s">
        <v>525</v>
      </c>
      <c r="B91" s="8" t="s">
        <v>526</v>
      </c>
      <c r="C91" s="8" t="s">
        <v>480</v>
      </c>
      <c r="D91" s="8" t="s">
        <v>103</v>
      </c>
      <c r="E91" s="8" t="n">
        <v>2008</v>
      </c>
      <c r="F91" s="8" t="s">
        <v>538</v>
      </c>
      <c r="G91" s="17" t="n">
        <v>1.2</v>
      </c>
      <c r="I91" s="8" t="s">
        <v>617</v>
      </c>
      <c r="J91" s="8" t="n">
        <v>151</v>
      </c>
    </row>
    <row r="92" customFormat="false" ht="12.8" hidden="false" customHeight="false" outlineLevel="0" collapsed="false">
      <c r="A92" s="8" t="s">
        <v>525</v>
      </c>
      <c r="B92" s="8" t="s">
        <v>526</v>
      </c>
      <c r="C92" s="8" t="s">
        <v>480</v>
      </c>
      <c r="D92" s="8" t="s">
        <v>104</v>
      </c>
      <c r="E92" s="8" t="n">
        <v>2010</v>
      </c>
      <c r="F92" s="8" t="s">
        <v>544</v>
      </c>
      <c r="G92" s="17" t="n">
        <v>1.2</v>
      </c>
      <c r="I92" s="8" t="s">
        <v>570</v>
      </c>
      <c r="J92" s="8" t="n">
        <v>152</v>
      </c>
    </row>
    <row r="93" customFormat="false" ht="12.8" hidden="false" customHeight="false" outlineLevel="0" collapsed="false">
      <c r="A93" s="8" t="s">
        <v>525</v>
      </c>
      <c r="B93" s="8" t="s">
        <v>526</v>
      </c>
      <c r="C93" s="8" t="s">
        <v>480</v>
      </c>
      <c r="D93" s="8" t="s">
        <v>618</v>
      </c>
      <c r="E93" s="8" t="n">
        <v>2010</v>
      </c>
      <c r="F93" s="8" t="s">
        <v>544</v>
      </c>
      <c r="G93" s="17" t="n">
        <v>1.2</v>
      </c>
      <c r="I93" s="8" t="s">
        <v>619</v>
      </c>
      <c r="J93" s="8" t="n">
        <v>153</v>
      </c>
    </row>
    <row r="94" customFormat="false" ht="12.8" hidden="false" customHeight="false" outlineLevel="0" collapsed="false">
      <c r="A94" s="8" t="s">
        <v>525</v>
      </c>
      <c r="B94" s="8" t="s">
        <v>526</v>
      </c>
      <c r="C94" s="8" t="s">
        <v>480</v>
      </c>
      <c r="D94" s="8" t="s">
        <v>101</v>
      </c>
      <c r="E94" s="8" t="n">
        <v>2011</v>
      </c>
      <c r="F94" s="8" t="s">
        <v>527</v>
      </c>
      <c r="G94" s="17" t="n">
        <v>1.205</v>
      </c>
      <c r="H94" s="8" t="s">
        <v>620</v>
      </c>
      <c r="I94" s="8" t="s">
        <v>621</v>
      </c>
      <c r="J94" s="8" t="n">
        <v>154</v>
      </c>
    </row>
    <row r="95" customFormat="false" ht="12.8" hidden="false" customHeight="false" outlineLevel="0" collapsed="false">
      <c r="A95" s="8" t="s">
        <v>525</v>
      </c>
      <c r="B95" s="8" t="s">
        <v>526</v>
      </c>
      <c r="C95" s="8" t="s">
        <v>480</v>
      </c>
      <c r="D95" s="8" t="s">
        <v>101</v>
      </c>
      <c r="E95" s="8" t="n">
        <v>2011</v>
      </c>
      <c r="F95" s="8" t="s">
        <v>527</v>
      </c>
      <c r="G95" s="17" t="n">
        <v>1.205</v>
      </c>
      <c r="H95" s="8" t="s">
        <v>622</v>
      </c>
      <c r="I95" s="8" t="s">
        <v>621</v>
      </c>
      <c r="J95" s="8" t="n">
        <v>155</v>
      </c>
    </row>
    <row r="96" customFormat="false" ht="12.8" hidden="false" customHeight="false" outlineLevel="0" collapsed="false">
      <c r="A96" s="8" t="s">
        <v>525</v>
      </c>
      <c r="B96" s="8" t="s">
        <v>526</v>
      </c>
      <c r="C96" s="8" t="s">
        <v>480</v>
      </c>
      <c r="D96" s="8" t="s">
        <v>101</v>
      </c>
      <c r="E96" s="8" t="n">
        <v>2011</v>
      </c>
      <c r="F96" s="8" t="s">
        <v>527</v>
      </c>
      <c r="G96" s="17" t="n">
        <v>1.205</v>
      </c>
      <c r="H96" s="8" t="s">
        <v>623</v>
      </c>
      <c r="I96" s="8" t="s">
        <v>621</v>
      </c>
      <c r="J96" s="8" t="n">
        <v>156</v>
      </c>
    </row>
    <row r="97" customFormat="false" ht="12.8" hidden="false" customHeight="false" outlineLevel="0" collapsed="false">
      <c r="A97" s="8" t="s">
        <v>525</v>
      </c>
      <c r="B97" s="8" t="s">
        <v>526</v>
      </c>
      <c r="C97" s="8" t="s">
        <v>480</v>
      </c>
      <c r="D97" s="8" t="s">
        <v>131</v>
      </c>
      <c r="E97" s="8" t="n">
        <v>2012</v>
      </c>
      <c r="F97" s="8" t="s">
        <v>527</v>
      </c>
      <c r="G97" s="17" t="n">
        <v>1.21</v>
      </c>
      <c r="H97" s="8" t="s">
        <v>547</v>
      </c>
      <c r="I97" s="8" t="s">
        <v>624</v>
      </c>
      <c r="J97" s="8" t="n">
        <v>157</v>
      </c>
    </row>
    <row r="98" customFormat="false" ht="12.8" hidden="false" customHeight="false" outlineLevel="0" collapsed="false">
      <c r="A98" s="8" t="s">
        <v>525</v>
      </c>
      <c r="B98" s="8" t="s">
        <v>526</v>
      </c>
      <c r="C98" s="8" t="s">
        <v>480</v>
      </c>
      <c r="D98" s="8" t="s">
        <v>103</v>
      </c>
      <c r="E98" s="8" t="n">
        <v>2013</v>
      </c>
      <c r="F98" s="8" t="s">
        <v>527</v>
      </c>
      <c r="G98" s="17" t="n">
        <v>1.21</v>
      </c>
      <c r="H98" s="8" t="s">
        <v>625</v>
      </c>
      <c r="I98" s="8" t="s">
        <v>552</v>
      </c>
      <c r="J98" s="8" t="n">
        <v>158</v>
      </c>
    </row>
    <row r="99" customFormat="false" ht="12.8" hidden="false" customHeight="false" outlineLevel="0" collapsed="false">
      <c r="A99" s="8" t="s">
        <v>525</v>
      </c>
      <c r="B99" s="8" t="s">
        <v>526</v>
      </c>
      <c r="C99" s="8" t="s">
        <v>480</v>
      </c>
      <c r="D99" s="8" t="s">
        <v>101</v>
      </c>
      <c r="E99" s="8" t="n">
        <v>2011</v>
      </c>
      <c r="F99" s="8" t="s">
        <v>527</v>
      </c>
      <c r="G99" s="17" t="n">
        <v>1.21</v>
      </c>
      <c r="H99" s="8" t="s">
        <v>626</v>
      </c>
      <c r="I99" s="8" t="s">
        <v>621</v>
      </c>
      <c r="J99" s="8" t="n">
        <v>159</v>
      </c>
    </row>
    <row r="100" customFormat="false" ht="12.8" hidden="false" customHeight="false" outlineLevel="0" collapsed="false">
      <c r="A100" s="8" t="s">
        <v>525</v>
      </c>
      <c r="B100" s="8" t="s">
        <v>526</v>
      </c>
      <c r="C100" s="8" t="s">
        <v>480</v>
      </c>
      <c r="D100" s="8" t="s">
        <v>119</v>
      </c>
      <c r="E100" s="8" t="n">
        <v>2006</v>
      </c>
      <c r="F100" s="8" t="s">
        <v>527</v>
      </c>
      <c r="G100" s="17" t="n">
        <v>1.216</v>
      </c>
      <c r="H100" s="8" t="s">
        <v>627</v>
      </c>
      <c r="I100" s="8" t="s">
        <v>611</v>
      </c>
      <c r="J100" s="8" t="n">
        <v>160</v>
      </c>
    </row>
    <row r="101" customFormat="false" ht="12.8" hidden="false" customHeight="false" outlineLevel="0" collapsed="false">
      <c r="A101" s="8" t="s">
        <v>525</v>
      </c>
      <c r="B101" s="8" t="s">
        <v>526</v>
      </c>
      <c r="C101" s="8" t="s">
        <v>480</v>
      </c>
      <c r="D101" s="8" t="s">
        <v>131</v>
      </c>
      <c r="E101" s="8" t="n">
        <v>2000</v>
      </c>
      <c r="F101" s="8" t="s">
        <v>527</v>
      </c>
      <c r="G101" s="17" t="n">
        <v>1.22</v>
      </c>
      <c r="H101" s="8" t="s">
        <v>628</v>
      </c>
      <c r="I101" s="8" t="s">
        <v>578</v>
      </c>
      <c r="J101" s="8" t="n">
        <v>161</v>
      </c>
    </row>
    <row r="102" customFormat="false" ht="12.8" hidden="false" customHeight="false" outlineLevel="0" collapsed="false">
      <c r="A102" s="8" t="s">
        <v>525</v>
      </c>
      <c r="B102" s="8" t="s">
        <v>526</v>
      </c>
      <c r="C102" s="8" t="s">
        <v>480</v>
      </c>
      <c r="D102" s="8" t="s">
        <v>101</v>
      </c>
      <c r="E102" s="8" t="n">
        <v>2011</v>
      </c>
      <c r="F102" s="8" t="s">
        <v>527</v>
      </c>
      <c r="G102" s="17" t="n">
        <v>1.22</v>
      </c>
      <c r="H102" s="8" t="s">
        <v>629</v>
      </c>
      <c r="I102" s="8" t="s">
        <v>621</v>
      </c>
      <c r="J102" s="8" t="n">
        <v>162</v>
      </c>
    </row>
    <row r="103" customFormat="false" ht="12.8" hidden="false" customHeight="false" outlineLevel="0" collapsed="false">
      <c r="A103" s="8" t="s">
        <v>525</v>
      </c>
      <c r="B103" s="8" t="s">
        <v>526</v>
      </c>
      <c r="C103" s="8" t="s">
        <v>480</v>
      </c>
      <c r="D103" s="8" t="s">
        <v>101</v>
      </c>
      <c r="E103" s="8" t="n">
        <v>2011</v>
      </c>
      <c r="F103" s="8" t="s">
        <v>527</v>
      </c>
      <c r="G103" s="17" t="n">
        <v>1.22</v>
      </c>
      <c r="H103" s="8" t="s">
        <v>630</v>
      </c>
      <c r="I103" s="8" t="s">
        <v>621</v>
      </c>
      <c r="J103" s="8" t="n">
        <v>163</v>
      </c>
    </row>
    <row r="104" customFormat="false" ht="12.8" hidden="false" customHeight="false" outlineLevel="0" collapsed="false">
      <c r="A104" s="8" t="s">
        <v>525</v>
      </c>
      <c r="B104" s="8" t="s">
        <v>526</v>
      </c>
      <c r="C104" s="8" t="s">
        <v>480</v>
      </c>
      <c r="D104" s="8" t="s">
        <v>132</v>
      </c>
      <c r="E104" s="8" t="n">
        <v>2012</v>
      </c>
      <c r="F104" s="8" t="s">
        <v>544</v>
      </c>
      <c r="G104" s="17" t="n">
        <v>1.22</v>
      </c>
      <c r="H104" s="8" t="s">
        <v>631</v>
      </c>
      <c r="I104" s="8" t="s">
        <v>561</v>
      </c>
      <c r="J104" s="8" t="n">
        <v>164</v>
      </c>
    </row>
    <row r="105" customFormat="false" ht="12.8" hidden="false" customHeight="false" outlineLevel="0" collapsed="false">
      <c r="A105" s="8" t="s">
        <v>525</v>
      </c>
      <c r="B105" s="8" t="s">
        <v>526</v>
      </c>
      <c r="C105" s="8" t="s">
        <v>480</v>
      </c>
      <c r="D105" s="8" t="s">
        <v>103</v>
      </c>
      <c r="E105" s="8" t="n">
        <v>2009</v>
      </c>
      <c r="F105" s="8" t="s">
        <v>527</v>
      </c>
      <c r="G105" s="17" t="n">
        <v>1.222</v>
      </c>
      <c r="H105" s="8" t="s">
        <v>632</v>
      </c>
      <c r="I105" s="8" t="s">
        <v>607</v>
      </c>
      <c r="J105" s="8" t="n">
        <v>165</v>
      </c>
    </row>
    <row r="106" customFormat="false" ht="12.8" hidden="false" customHeight="false" outlineLevel="0" collapsed="false">
      <c r="A106" s="8" t="s">
        <v>525</v>
      </c>
      <c r="B106" s="8" t="s">
        <v>526</v>
      </c>
      <c r="C106" s="8" t="s">
        <v>480</v>
      </c>
      <c r="D106" s="8" t="s">
        <v>91</v>
      </c>
      <c r="E106" s="8" t="n">
        <v>2008</v>
      </c>
      <c r="F106" s="8" t="s">
        <v>538</v>
      </c>
      <c r="G106" s="17" t="n">
        <v>1.23</v>
      </c>
      <c r="H106" s="8" t="s">
        <v>633</v>
      </c>
      <c r="I106" s="8" t="s">
        <v>609</v>
      </c>
      <c r="J106" s="8" t="n">
        <v>166</v>
      </c>
    </row>
    <row r="107" customFormat="false" ht="12.8" hidden="false" customHeight="false" outlineLevel="0" collapsed="false">
      <c r="A107" s="8" t="s">
        <v>525</v>
      </c>
      <c r="B107" s="8" t="s">
        <v>526</v>
      </c>
      <c r="C107" s="8" t="s">
        <v>480</v>
      </c>
      <c r="D107" s="8" t="s">
        <v>119</v>
      </c>
      <c r="E107" s="8" t="n">
        <v>2006</v>
      </c>
      <c r="F107" s="8" t="s">
        <v>527</v>
      </c>
      <c r="G107" s="17" t="n">
        <v>1.23</v>
      </c>
      <c r="H107" s="8" t="s">
        <v>634</v>
      </c>
      <c r="I107" s="8" t="s">
        <v>611</v>
      </c>
      <c r="J107" s="8" t="n">
        <v>167</v>
      </c>
    </row>
    <row r="108" customFormat="false" ht="12.8" hidden="false" customHeight="false" outlineLevel="0" collapsed="false">
      <c r="A108" s="8" t="s">
        <v>525</v>
      </c>
      <c r="B108" s="8" t="s">
        <v>526</v>
      </c>
      <c r="C108" s="8" t="s">
        <v>480</v>
      </c>
      <c r="D108" s="8" t="s">
        <v>133</v>
      </c>
      <c r="E108" s="8" t="n">
        <v>2002</v>
      </c>
      <c r="F108" s="8" t="s">
        <v>538</v>
      </c>
      <c r="G108" s="17" t="n">
        <v>1.23</v>
      </c>
      <c r="I108" s="8" t="s">
        <v>572</v>
      </c>
      <c r="J108" s="8" t="n">
        <v>168</v>
      </c>
    </row>
    <row r="109" customFormat="false" ht="12.8" hidden="false" customHeight="false" outlineLevel="0" collapsed="false">
      <c r="A109" s="8" t="s">
        <v>525</v>
      </c>
      <c r="B109" s="8" t="s">
        <v>526</v>
      </c>
      <c r="C109" s="8" t="s">
        <v>480</v>
      </c>
      <c r="D109" s="8" t="s">
        <v>133</v>
      </c>
      <c r="E109" s="8" t="n">
        <v>2002</v>
      </c>
      <c r="F109" s="8" t="s">
        <v>538</v>
      </c>
      <c r="G109" s="17" t="n">
        <v>1.23</v>
      </c>
      <c r="I109" s="8" t="s">
        <v>572</v>
      </c>
      <c r="J109" s="8" t="n">
        <v>169</v>
      </c>
    </row>
    <row r="110" customFormat="false" ht="12.8" hidden="false" customHeight="false" outlineLevel="0" collapsed="false">
      <c r="A110" s="8" t="s">
        <v>525</v>
      </c>
      <c r="B110" s="8" t="s">
        <v>526</v>
      </c>
      <c r="C110" s="8" t="s">
        <v>480</v>
      </c>
      <c r="D110" s="8" t="s">
        <v>119</v>
      </c>
      <c r="E110" s="8" t="n">
        <v>2012</v>
      </c>
      <c r="F110" s="8" t="s">
        <v>527</v>
      </c>
      <c r="G110" s="17" t="n">
        <v>1.23</v>
      </c>
      <c r="I110" s="8" t="s">
        <v>635</v>
      </c>
      <c r="J110" s="8" t="n">
        <v>170</v>
      </c>
    </row>
    <row r="111" customFormat="false" ht="12.8" hidden="false" customHeight="false" outlineLevel="0" collapsed="false">
      <c r="A111" s="8" t="s">
        <v>525</v>
      </c>
      <c r="B111" s="8" t="s">
        <v>526</v>
      </c>
      <c r="C111" s="8" t="s">
        <v>480</v>
      </c>
      <c r="D111" s="8" t="s">
        <v>133</v>
      </c>
      <c r="E111" s="8" t="n">
        <v>2012</v>
      </c>
      <c r="F111" s="8" t="s">
        <v>601</v>
      </c>
      <c r="G111" s="17" t="n">
        <v>1.23239436619718</v>
      </c>
      <c r="H111" s="8" t="s">
        <v>636</v>
      </c>
      <c r="I111" s="8" t="s">
        <v>637</v>
      </c>
      <c r="J111" s="8" t="n">
        <v>171</v>
      </c>
    </row>
    <row r="112" customFormat="false" ht="12.8" hidden="false" customHeight="false" outlineLevel="0" collapsed="false">
      <c r="A112" s="8" t="s">
        <v>525</v>
      </c>
      <c r="B112" s="8" t="s">
        <v>526</v>
      </c>
      <c r="C112" s="8" t="s">
        <v>480</v>
      </c>
      <c r="D112" s="8" t="s">
        <v>153</v>
      </c>
      <c r="E112" s="8" t="n">
        <v>2014</v>
      </c>
      <c r="F112" s="8" t="s">
        <v>527</v>
      </c>
      <c r="G112" s="17" t="n">
        <v>1.24</v>
      </c>
      <c r="I112" s="8" t="s">
        <v>638</v>
      </c>
      <c r="J112" s="8" t="n">
        <v>172</v>
      </c>
    </row>
    <row r="113" customFormat="false" ht="12.8" hidden="false" customHeight="false" outlineLevel="0" collapsed="false">
      <c r="A113" s="8" t="s">
        <v>525</v>
      </c>
      <c r="B113" s="8" t="s">
        <v>526</v>
      </c>
      <c r="C113" s="8" t="s">
        <v>480</v>
      </c>
      <c r="D113" s="8" t="s">
        <v>101</v>
      </c>
      <c r="E113" s="8" t="n">
        <v>2013</v>
      </c>
      <c r="F113" s="8" t="s">
        <v>527</v>
      </c>
      <c r="G113" s="17" t="n">
        <v>1.24</v>
      </c>
      <c r="H113" s="8" t="s">
        <v>639</v>
      </c>
      <c r="I113" s="8" t="s">
        <v>534</v>
      </c>
      <c r="J113" s="8" t="n">
        <v>173</v>
      </c>
    </row>
    <row r="114" customFormat="false" ht="12.8" hidden="false" customHeight="false" outlineLevel="0" collapsed="false">
      <c r="A114" s="8" t="s">
        <v>525</v>
      </c>
      <c r="B114" s="8" t="s">
        <v>526</v>
      </c>
      <c r="C114" s="8" t="s">
        <v>480</v>
      </c>
      <c r="D114" s="8" t="s">
        <v>102</v>
      </c>
      <c r="E114" s="8" t="n">
        <v>2013</v>
      </c>
      <c r="F114" s="8" t="s">
        <v>527</v>
      </c>
      <c r="G114" s="17" t="n">
        <v>1.24</v>
      </c>
      <c r="I114" s="8" t="s">
        <v>534</v>
      </c>
      <c r="J114" s="8" t="n">
        <v>174</v>
      </c>
    </row>
    <row r="115" customFormat="false" ht="12.8" hidden="false" customHeight="false" outlineLevel="0" collapsed="false">
      <c r="A115" s="8" t="s">
        <v>525</v>
      </c>
      <c r="B115" s="8" t="s">
        <v>526</v>
      </c>
      <c r="C115" s="8" t="s">
        <v>480</v>
      </c>
      <c r="D115" s="8" t="s">
        <v>104</v>
      </c>
      <c r="E115" s="8" t="n">
        <v>2010</v>
      </c>
      <c r="F115" s="8" t="s">
        <v>527</v>
      </c>
      <c r="G115" s="17" t="n">
        <v>1.24</v>
      </c>
      <c r="H115" s="8" t="s">
        <v>640</v>
      </c>
      <c r="I115" s="8" t="s">
        <v>567</v>
      </c>
      <c r="J115" s="8" t="n">
        <v>175</v>
      </c>
    </row>
    <row r="116" customFormat="false" ht="12.8" hidden="false" customHeight="false" outlineLevel="0" collapsed="false">
      <c r="A116" s="8" t="s">
        <v>525</v>
      </c>
      <c r="B116" s="8" t="s">
        <v>526</v>
      </c>
      <c r="C116" s="8" t="s">
        <v>480</v>
      </c>
      <c r="D116" s="8" t="s">
        <v>104</v>
      </c>
      <c r="E116" s="8" t="n">
        <v>2011</v>
      </c>
      <c r="F116" s="8" t="s">
        <v>527</v>
      </c>
      <c r="G116" s="17" t="n">
        <v>1.24</v>
      </c>
      <c r="I116" s="8" t="s">
        <v>598</v>
      </c>
      <c r="J116" s="8" t="n">
        <v>176</v>
      </c>
    </row>
    <row r="117" customFormat="false" ht="12.8" hidden="false" customHeight="false" outlineLevel="0" collapsed="false">
      <c r="A117" s="8" t="s">
        <v>525</v>
      </c>
      <c r="B117" s="8" t="s">
        <v>526</v>
      </c>
      <c r="C117" s="8" t="s">
        <v>480</v>
      </c>
      <c r="D117" s="8" t="s">
        <v>119</v>
      </c>
      <c r="E117" s="8" t="n">
        <v>2006</v>
      </c>
      <c r="F117" s="8" t="s">
        <v>527</v>
      </c>
      <c r="G117" s="17" t="n">
        <v>1.243</v>
      </c>
      <c r="H117" s="8" t="s">
        <v>641</v>
      </c>
      <c r="I117" s="8" t="s">
        <v>611</v>
      </c>
      <c r="J117" s="8" t="n">
        <v>177</v>
      </c>
    </row>
    <row r="118" customFormat="false" ht="12.8" hidden="false" customHeight="false" outlineLevel="0" collapsed="false">
      <c r="A118" s="8" t="s">
        <v>525</v>
      </c>
      <c r="B118" s="8" t="s">
        <v>526</v>
      </c>
      <c r="C118" s="8" t="s">
        <v>480</v>
      </c>
      <c r="D118" s="8" t="s">
        <v>119</v>
      </c>
      <c r="E118" s="8" t="n">
        <v>2014</v>
      </c>
      <c r="F118" s="8" t="s">
        <v>527</v>
      </c>
      <c r="G118" s="17" t="n">
        <v>1.2441</v>
      </c>
      <c r="I118" s="8" t="s">
        <v>536</v>
      </c>
      <c r="J118" s="8" t="n">
        <v>178</v>
      </c>
    </row>
    <row r="119" customFormat="false" ht="12.8" hidden="false" customHeight="false" outlineLevel="0" collapsed="false">
      <c r="A119" s="8" t="s">
        <v>525</v>
      </c>
      <c r="B119" s="8" t="s">
        <v>526</v>
      </c>
      <c r="C119" s="8" t="s">
        <v>480</v>
      </c>
      <c r="D119" s="8" t="s">
        <v>103</v>
      </c>
      <c r="E119" s="8" t="n">
        <v>2013</v>
      </c>
      <c r="F119" s="8" t="s">
        <v>527</v>
      </c>
      <c r="G119" s="17" t="n">
        <v>1.25</v>
      </c>
      <c r="I119" s="8" t="s">
        <v>552</v>
      </c>
      <c r="J119" s="8" t="n">
        <v>179</v>
      </c>
    </row>
    <row r="120" customFormat="false" ht="12.8" hidden="false" customHeight="false" outlineLevel="0" collapsed="false">
      <c r="A120" s="8" t="s">
        <v>525</v>
      </c>
      <c r="B120" s="8" t="s">
        <v>526</v>
      </c>
      <c r="C120" s="8" t="s">
        <v>480</v>
      </c>
      <c r="D120" s="8" t="s">
        <v>133</v>
      </c>
      <c r="E120" s="8" t="n">
        <v>2009</v>
      </c>
      <c r="F120" s="8" t="s">
        <v>601</v>
      </c>
      <c r="G120" s="17" t="n">
        <v>1.26</v>
      </c>
      <c r="I120" s="8" t="s">
        <v>642</v>
      </c>
      <c r="J120" s="8" t="n">
        <v>180</v>
      </c>
    </row>
    <row r="121" customFormat="false" ht="12.8" hidden="false" customHeight="false" outlineLevel="0" collapsed="false">
      <c r="A121" s="8" t="s">
        <v>525</v>
      </c>
      <c r="B121" s="8" t="s">
        <v>526</v>
      </c>
      <c r="C121" s="8" t="s">
        <v>480</v>
      </c>
      <c r="D121" s="8" t="s">
        <v>102</v>
      </c>
      <c r="E121" s="8" t="n">
        <v>2012</v>
      </c>
      <c r="F121" s="8" t="s">
        <v>601</v>
      </c>
      <c r="G121" s="17" t="n">
        <v>1.26</v>
      </c>
      <c r="I121" s="8" t="s">
        <v>616</v>
      </c>
      <c r="J121" s="8" t="n">
        <v>181</v>
      </c>
    </row>
    <row r="122" customFormat="false" ht="12.8" hidden="false" customHeight="false" outlineLevel="0" collapsed="false">
      <c r="A122" s="8" t="s">
        <v>525</v>
      </c>
      <c r="B122" s="8" t="s">
        <v>526</v>
      </c>
      <c r="C122" s="8" t="s">
        <v>480</v>
      </c>
      <c r="D122" s="8" t="s">
        <v>102</v>
      </c>
      <c r="E122" s="8" t="n">
        <v>2012</v>
      </c>
      <c r="F122" s="8" t="s">
        <v>601</v>
      </c>
      <c r="G122" s="17" t="n">
        <v>1.26</v>
      </c>
      <c r="I122" s="8" t="s">
        <v>616</v>
      </c>
      <c r="J122" s="8" t="n">
        <v>182</v>
      </c>
    </row>
    <row r="123" customFormat="false" ht="12.8" hidden="false" customHeight="false" outlineLevel="0" collapsed="false">
      <c r="A123" s="8" t="s">
        <v>525</v>
      </c>
      <c r="B123" s="8" t="s">
        <v>526</v>
      </c>
      <c r="C123" s="8" t="s">
        <v>480</v>
      </c>
      <c r="D123" s="8" t="s">
        <v>643</v>
      </c>
      <c r="E123" s="8" t="n">
        <v>2011</v>
      </c>
      <c r="F123" s="8" t="s">
        <v>527</v>
      </c>
      <c r="G123" s="17" t="n">
        <v>1.26</v>
      </c>
      <c r="I123" s="8" t="s">
        <v>557</v>
      </c>
      <c r="J123" s="8" t="n">
        <v>183</v>
      </c>
    </row>
    <row r="124" customFormat="false" ht="12.8" hidden="false" customHeight="false" outlineLevel="0" collapsed="false">
      <c r="A124" s="8" t="s">
        <v>525</v>
      </c>
      <c r="B124" s="8" t="s">
        <v>526</v>
      </c>
      <c r="C124" s="8" t="s">
        <v>480</v>
      </c>
      <c r="D124" s="8" t="s">
        <v>115</v>
      </c>
      <c r="E124" s="8" t="n">
        <v>2011</v>
      </c>
      <c r="F124" s="8" t="s">
        <v>527</v>
      </c>
      <c r="G124" s="17" t="n">
        <v>1.26</v>
      </c>
      <c r="I124" s="8" t="s">
        <v>557</v>
      </c>
      <c r="J124" s="8" t="n">
        <v>184</v>
      </c>
    </row>
    <row r="125" customFormat="false" ht="12.8" hidden="false" customHeight="false" outlineLevel="0" collapsed="false">
      <c r="A125" s="8" t="s">
        <v>525</v>
      </c>
      <c r="B125" s="8" t="s">
        <v>526</v>
      </c>
      <c r="C125" s="8" t="s">
        <v>480</v>
      </c>
      <c r="D125" s="8" t="s">
        <v>91</v>
      </c>
      <c r="E125" s="8" t="n">
        <v>2011</v>
      </c>
      <c r="F125" s="8" t="s">
        <v>527</v>
      </c>
      <c r="G125" s="17" t="n">
        <v>1.26</v>
      </c>
      <c r="I125" s="8" t="s">
        <v>557</v>
      </c>
      <c r="J125" s="8" t="n">
        <v>185</v>
      </c>
    </row>
    <row r="126" customFormat="false" ht="12.8" hidden="false" customHeight="false" outlineLevel="0" collapsed="false">
      <c r="A126" s="8" t="s">
        <v>525</v>
      </c>
      <c r="B126" s="8" t="s">
        <v>526</v>
      </c>
      <c r="C126" s="8" t="s">
        <v>480</v>
      </c>
      <c r="D126" s="8" t="s">
        <v>119</v>
      </c>
      <c r="E126" s="8" t="n">
        <v>2011</v>
      </c>
      <c r="F126" s="8" t="s">
        <v>527</v>
      </c>
      <c r="G126" s="17" t="n">
        <v>1.26</v>
      </c>
      <c r="I126" s="8" t="s">
        <v>557</v>
      </c>
      <c r="J126" s="8" t="n">
        <v>186</v>
      </c>
    </row>
    <row r="127" customFormat="false" ht="12.8" hidden="false" customHeight="false" outlineLevel="0" collapsed="false">
      <c r="A127" s="8" t="s">
        <v>525</v>
      </c>
      <c r="B127" s="8" t="s">
        <v>526</v>
      </c>
      <c r="C127" s="8" t="s">
        <v>480</v>
      </c>
      <c r="D127" s="8" t="s">
        <v>91</v>
      </c>
      <c r="E127" s="8" t="n">
        <v>2013</v>
      </c>
      <c r="F127" s="8" t="s">
        <v>527</v>
      </c>
      <c r="G127" s="17" t="n">
        <v>1.26333333333333</v>
      </c>
      <c r="I127" s="8" t="s">
        <v>549</v>
      </c>
      <c r="J127" s="8" t="n">
        <v>187</v>
      </c>
    </row>
    <row r="128" customFormat="false" ht="12.8" hidden="false" customHeight="false" outlineLevel="0" collapsed="false">
      <c r="A128" s="8" t="s">
        <v>525</v>
      </c>
      <c r="B128" s="8" t="s">
        <v>526</v>
      </c>
      <c r="C128" s="8" t="s">
        <v>480</v>
      </c>
      <c r="D128" s="8" t="s">
        <v>91</v>
      </c>
      <c r="E128" s="8" t="n">
        <v>2011</v>
      </c>
      <c r="F128" s="8" t="s">
        <v>527</v>
      </c>
      <c r="G128" s="17" t="n">
        <v>1.265</v>
      </c>
      <c r="H128" s="8" t="s">
        <v>597</v>
      </c>
      <c r="I128" s="8" t="s">
        <v>598</v>
      </c>
      <c r="J128" s="8" t="n">
        <v>188</v>
      </c>
    </row>
    <row r="129" customFormat="false" ht="12.8" hidden="false" customHeight="false" outlineLevel="0" collapsed="false">
      <c r="A129" s="8" t="s">
        <v>525</v>
      </c>
      <c r="B129" s="8" t="s">
        <v>526</v>
      </c>
      <c r="C129" s="8" t="s">
        <v>480</v>
      </c>
      <c r="D129" s="8" t="s">
        <v>119</v>
      </c>
      <c r="E129" s="8" t="n">
        <v>2006</v>
      </c>
      <c r="F129" s="8" t="s">
        <v>527</v>
      </c>
      <c r="G129" s="17" t="n">
        <v>1.266</v>
      </c>
      <c r="H129" s="8" t="s">
        <v>644</v>
      </c>
      <c r="I129" s="8" t="s">
        <v>611</v>
      </c>
      <c r="J129" s="8" t="n">
        <v>189</v>
      </c>
    </row>
    <row r="130" customFormat="false" ht="12.8" hidden="false" customHeight="false" outlineLevel="0" collapsed="false">
      <c r="A130" s="8" t="s">
        <v>525</v>
      </c>
      <c r="B130" s="8" t="s">
        <v>526</v>
      </c>
      <c r="C130" s="8" t="s">
        <v>480</v>
      </c>
      <c r="D130" s="8" t="s">
        <v>131</v>
      </c>
      <c r="E130" s="8" t="n">
        <v>2012</v>
      </c>
      <c r="F130" s="8" t="s">
        <v>527</v>
      </c>
      <c r="G130" s="17" t="n">
        <v>1.27</v>
      </c>
      <c r="H130" s="8" t="s">
        <v>547</v>
      </c>
      <c r="I130" s="8" t="s">
        <v>624</v>
      </c>
      <c r="J130" s="8" t="n">
        <v>190</v>
      </c>
    </row>
    <row r="131" customFormat="false" ht="12.8" hidden="false" customHeight="false" outlineLevel="0" collapsed="false">
      <c r="A131" s="8" t="s">
        <v>525</v>
      </c>
      <c r="B131" s="8" t="s">
        <v>526</v>
      </c>
      <c r="C131" s="8" t="s">
        <v>480</v>
      </c>
      <c r="D131" s="8" t="s">
        <v>102</v>
      </c>
      <c r="E131" s="8" t="n">
        <v>2012</v>
      </c>
      <c r="F131" s="8" t="s">
        <v>601</v>
      </c>
      <c r="G131" s="17" t="n">
        <v>1.271</v>
      </c>
      <c r="I131" s="8" t="s">
        <v>645</v>
      </c>
      <c r="J131" s="8" t="n">
        <v>191</v>
      </c>
    </row>
    <row r="132" customFormat="false" ht="12.8" hidden="false" customHeight="false" outlineLevel="0" collapsed="false">
      <c r="A132" s="8" t="s">
        <v>525</v>
      </c>
      <c r="B132" s="8" t="s">
        <v>526</v>
      </c>
      <c r="C132" s="8" t="s">
        <v>480</v>
      </c>
      <c r="D132" s="8" t="s">
        <v>91</v>
      </c>
      <c r="E132" s="8" t="n">
        <v>2013</v>
      </c>
      <c r="F132" s="8" t="s">
        <v>527</v>
      </c>
      <c r="G132" s="17" t="n">
        <v>1.28</v>
      </c>
      <c r="H132" s="8" t="s">
        <v>646</v>
      </c>
      <c r="I132" s="8" t="s">
        <v>549</v>
      </c>
      <c r="J132" s="8" t="n">
        <v>192</v>
      </c>
    </row>
    <row r="133" customFormat="false" ht="12.8" hidden="false" customHeight="false" outlineLevel="0" collapsed="false">
      <c r="A133" s="8" t="s">
        <v>525</v>
      </c>
      <c r="B133" s="8" t="s">
        <v>526</v>
      </c>
      <c r="C133" s="8" t="s">
        <v>480</v>
      </c>
      <c r="D133" s="8" t="s">
        <v>119</v>
      </c>
      <c r="E133" s="8" t="n">
        <v>2006</v>
      </c>
      <c r="F133" s="8" t="s">
        <v>527</v>
      </c>
      <c r="G133" s="17" t="n">
        <v>1.289</v>
      </c>
      <c r="H133" s="8" t="s">
        <v>647</v>
      </c>
      <c r="I133" s="8" t="s">
        <v>611</v>
      </c>
      <c r="J133" s="8" t="n">
        <v>193</v>
      </c>
    </row>
    <row r="134" customFormat="false" ht="12.8" hidden="false" customHeight="false" outlineLevel="0" collapsed="false">
      <c r="A134" s="8" t="s">
        <v>525</v>
      </c>
      <c r="B134" s="8" t="s">
        <v>526</v>
      </c>
      <c r="C134" s="8" t="s">
        <v>480</v>
      </c>
      <c r="D134" s="8" t="s">
        <v>103</v>
      </c>
      <c r="E134" s="8" t="n">
        <v>2013</v>
      </c>
      <c r="F134" s="8" t="s">
        <v>527</v>
      </c>
      <c r="G134" s="17" t="n">
        <v>1.29</v>
      </c>
      <c r="I134" s="8" t="s">
        <v>648</v>
      </c>
      <c r="J134" s="8" t="n">
        <v>194</v>
      </c>
    </row>
    <row r="135" customFormat="false" ht="12.8" hidden="false" customHeight="false" outlineLevel="0" collapsed="false">
      <c r="A135" s="8" t="s">
        <v>525</v>
      </c>
      <c r="B135" s="8" t="s">
        <v>526</v>
      </c>
      <c r="C135" s="8" t="s">
        <v>480</v>
      </c>
      <c r="D135" s="8" t="s">
        <v>107</v>
      </c>
      <c r="E135" s="8" t="n">
        <v>2011</v>
      </c>
      <c r="F135" s="8" t="s">
        <v>527</v>
      </c>
      <c r="G135" s="17" t="n">
        <v>1.29</v>
      </c>
      <c r="I135" s="8" t="s">
        <v>598</v>
      </c>
      <c r="J135" s="8" t="n">
        <v>195</v>
      </c>
    </row>
    <row r="136" customFormat="false" ht="12.8" hidden="false" customHeight="false" outlineLevel="0" collapsed="false">
      <c r="A136" s="8" t="s">
        <v>525</v>
      </c>
      <c r="B136" s="8" t="s">
        <v>526</v>
      </c>
      <c r="C136" s="8" t="s">
        <v>480</v>
      </c>
      <c r="D136" s="8" t="s">
        <v>170</v>
      </c>
      <c r="E136" s="8" t="n">
        <v>2013</v>
      </c>
      <c r="F136" s="8" t="s">
        <v>527</v>
      </c>
      <c r="G136" s="17" t="n">
        <v>1.29</v>
      </c>
      <c r="I136" s="8" t="s">
        <v>649</v>
      </c>
      <c r="J136" s="8" t="n">
        <v>196</v>
      </c>
    </row>
    <row r="137" customFormat="false" ht="12.8" hidden="false" customHeight="false" outlineLevel="0" collapsed="false">
      <c r="A137" s="8" t="s">
        <v>525</v>
      </c>
      <c r="B137" s="8" t="s">
        <v>526</v>
      </c>
      <c r="C137" s="8" t="s">
        <v>480</v>
      </c>
      <c r="D137" s="8" t="s">
        <v>131</v>
      </c>
      <c r="E137" s="8" t="n">
        <v>2011</v>
      </c>
      <c r="F137" s="8" t="s">
        <v>527</v>
      </c>
      <c r="G137" s="17" t="n">
        <v>1.3</v>
      </c>
      <c r="H137" s="8" t="s">
        <v>628</v>
      </c>
      <c r="I137" s="8" t="s">
        <v>592</v>
      </c>
      <c r="J137" s="8" t="n">
        <v>197</v>
      </c>
    </row>
    <row r="138" customFormat="false" ht="12.8" hidden="false" customHeight="false" outlineLevel="0" collapsed="false">
      <c r="A138" s="8" t="s">
        <v>525</v>
      </c>
      <c r="B138" s="8" t="s">
        <v>526</v>
      </c>
      <c r="C138" s="8" t="s">
        <v>480</v>
      </c>
      <c r="D138" s="8" t="s">
        <v>131</v>
      </c>
      <c r="E138" s="8" t="n">
        <v>2011</v>
      </c>
      <c r="F138" s="8" t="s">
        <v>527</v>
      </c>
      <c r="G138" s="17" t="n">
        <v>1.3</v>
      </c>
      <c r="H138" s="8" t="s">
        <v>596</v>
      </c>
      <c r="I138" s="8" t="s">
        <v>589</v>
      </c>
      <c r="J138" s="8" t="n">
        <v>198</v>
      </c>
    </row>
    <row r="139" customFormat="false" ht="12.8" hidden="false" customHeight="false" outlineLevel="0" collapsed="false">
      <c r="A139" s="8" t="s">
        <v>525</v>
      </c>
      <c r="B139" s="8" t="s">
        <v>526</v>
      </c>
      <c r="C139" s="8" t="s">
        <v>480</v>
      </c>
      <c r="D139" s="8" t="s">
        <v>91</v>
      </c>
      <c r="E139" s="8" t="n">
        <v>2013</v>
      </c>
      <c r="F139" s="8" t="s">
        <v>527</v>
      </c>
      <c r="G139" s="17" t="n">
        <v>1.3</v>
      </c>
      <c r="H139" s="8" t="s">
        <v>650</v>
      </c>
      <c r="I139" s="8" t="s">
        <v>549</v>
      </c>
      <c r="J139" s="8" t="n">
        <v>199</v>
      </c>
    </row>
    <row r="140" customFormat="false" ht="15.35" hidden="false" customHeight="true" outlineLevel="0" collapsed="false">
      <c r="A140" s="8" t="s">
        <v>525</v>
      </c>
      <c r="B140" s="8" t="s">
        <v>526</v>
      </c>
      <c r="C140" s="8" t="s">
        <v>480</v>
      </c>
      <c r="D140" s="8" t="s">
        <v>91</v>
      </c>
      <c r="E140" s="8" t="n">
        <v>2010</v>
      </c>
      <c r="F140" s="8" t="s">
        <v>544</v>
      </c>
      <c r="G140" s="17" t="n">
        <v>1.3</v>
      </c>
      <c r="I140" s="5" t="s">
        <v>651</v>
      </c>
      <c r="J140" s="8" t="n">
        <v>200</v>
      </c>
    </row>
    <row r="141" customFormat="false" ht="12.8" hidden="false" customHeight="false" outlineLevel="0" collapsed="false">
      <c r="A141" s="8" t="s">
        <v>525</v>
      </c>
      <c r="B141" s="8" t="s">
        <v>526</v>
      </c>
      <c r="C141" s="8" t="s">
        <v>480</v>
      </c>
      <c r="D141" s="8" t="s">
        <v>133</v>
      </c>
      <c r="E141" s="8" t="n">
        <v>2011</v>
      </c>
      <c r="F141" s="8" t="s">
        <v>527</v>
      </c>
      <c r="G141" s="17" t="n">
        <v>1.3</v>
      </c>
      <c r="I141" s="8" t="s">
        <v>557</v>
      </c>
      <c r="J141" s="8" t="n">
        <v>201</v>
      </c>
    </row>
    <row r="142" customFormat="false" ht="12.8" hidden="false" customHeight="false" outlineLevel="0" collapsed="false">
      <c r="A142" s="8" t="s">
        <v>525</v>
      </c>
      <c r="B142" s="8" t="s">
        <v>526</v>
      </c>
      <c r="C142" s="8" t="s">
        <v>480</v>
      </c>
      <c r="D142" s="8" t="s">
        <v>102</v>
      </c>
      <c r="E142" s="8" t="n">
        <v>2013</v>
      </c>
      <c r="F142" s="8" t="s">
        <v>527</v>
      </c>
      <c r="G142" s="17" t="n">
        <v>1.31</v>
      </c>
      <c r="I142" s="8" t="s">
        <v>534</v>
      </c>
      <c r="J142" s="8" t="n">
        <v>202</v>
      </c>
    </row>
    <row r="143" customFormat="false" ht="12.8" hidden="false" customHeight="false" outlineLevel="0" collapsed="false">
      <c r="A143" s="8" t="s">
        <v>525</v>
      </c>
      <c r="B143" s="8" t="s">
        <v>526</v>
      </c>
      <c r="C143" s="8" t="s">
        <v>480</v>
      </c>
      <c r="D143" s="8" t="s">
        <v>103</v>
      </c>
      <c r="E143" s="8" t="n">
        <v>2013</v>
      </c>
      <c r="F143" s="8" t="s">
        <v>527</v>
      </c>
      <c r="G143" s="17" t="n">
        <v>1.31</v>
      </c>
      <c r="I143" s="8" t="s">
        <v>552</v>
      </c>
      <c r="J143" s="8" t="n">
        <v>203</v>
      </c>
    </row>
    <row r="144" customFormat="false" ht="12.8" hidden="false" customHeight="false" outlineLevel="0" collapsed="false">
      <c r="A144" s="8" t="s">
        <v>525</v>
      </c>
      <c r="B144" s="8" t="s">
        <v>526</v>
      </c>
      <c r="C144" s="8" t="s">
        <v>480</v>
      </c>
      <c r="D144" s="8" t="s">
        <v>104</v>
      </c>
      <c r="E144" s="8" t="n">
        <v>2010</v>
      </c>
      <c r="F144" s="8" t="s">
        <v>527</v>
      </c>
      <c r="G144" s="17" t="n">
        <v>1.31</v>
      </c>
      <c r="H144" s="8" t="s">
        <v>652</v>
      </c>
      <c r="I144" s="8" t="s">
        <v>567</v>
      </c>
      <c r="J144" s="8" t="n">
        <v>204</v>
      </c>
    </row>
    <row r="145" customFormat="false" ht="12.8" hidden="false" customHeight="false" outlineLevel="0" collapsed="false">
      <c r="A145" s="8" t="s">
        <v>525</v>
      </c>
      <c r="B145" s="8" t="s">
        <v>526</v>
      </c>
      <c r="C145" s="8" t="s">
        <v>480</v>
      </c>
      <c r="D145" s="8" t="s">
        <v>91</v>
      </c>
      <c r="E145" s="8" t="n">
        <v>2013</v>
      </c>
      <c r="F145" s="8" t="s">
        <v>527</v>
      </c>
      <c r="G145" s="17" t="n">
        <v>1.31</v>
      </c>
      <c r="H145" s="8" t="s">
        <v>653</v>
      </c>
      <c r="I145" s="8" t="s">
        <v>549</v>
      </c>
      <c r="J145" s="8" t="n">
        <v>205</v>
      </c>
    </row>
    <row r="146" customFormat="false" ht="12.8" hidden="false" customHeight="false" outlineLevel="0" collapsed="false">
      <c r="A146" s="8" t="s">
        <v>525</v>
      </c>
      <c r="B146" s="8" t="s">
        <v>526</v>
      </c>
      <c r="C146" s="8" t="s">
        <v>480</v>
      </c>
      <c r="D146" s="8" t="s">
        <v>102</v>
      </c>
      <c r="E146" s="8" t="n">
        <v>2012</v>
      </c>
      <c r="F146" s="8" t="s">
        <v>544</v>
      </c>
      <c r="G146" s="17" t="n">
        <v>1.32</v>
      </c>
      <c r="I146" s="8" t="s">
        <v>654</v>
      </c>
      <c r="J146" s="8" t="n">
        <v>206</v>
      </c>
    </row>
    <row r="147" customFormat="false" ht="12.8" hidden="false" customHeight="false" outlineLevel="0" collapsed="false">
      <c r="A147" s="8" t="s">
        <v>525</v>
      </c>
      <c r="B147" s="8" t="s">
        <v>526</v>
      </c>
      <c r="C147" s="8" t="s">
        <v>480</v>
      </c>
      <c r="D147" s="8" t="s">
        <v>133</v>
      </c>
      <c r="E147" s="8" t="n">
        <v>2011</v>
      </c>
      <c r="F147" s="8" t="s">
        <v>527</v>
      </c>
      <c r="G147" s="17" t="n">
        <v>1.32</v>
      </c>
      <c r="H147" s="8" t="s">
        <v>597</v>
      </c>
      <c r="I147" s="8" t="s">
        <v>598</v>
      </c>
      <c r="J147" s="8" t="n">
        <v>207</v>
      </c>
    </row>
    <row r="148" customFormat="false" ht="12.8" hidden="false" customHeight="false" outlineLevel="0" collapsed="false">
      <c r="A148" s="8" t="s">
        <v>525</v>
      </c>
      <c r="B148" s="8" t="s">
        <v>526</v>
      </c>
      <c r="C148" s="8" t="s">
        <v>480</v>
      </c>
      <c r="D148" s="8" t="s">
        <v>542</v>
      </c>
      <c r="E148" s="8" t="n">
        <v>2011</v>
      </c>
      <c r="F148" s="8" t="s">
        <v>527</v>
      </c>
      <c r="G148" s="17" t="n">
        <v>1.34</v>
      </c>
      <c r="I148" s="8" t="s">
        <v>557</v>
      </c>
      <c r="J148" s="8" t="n">
        <v>208</v>
      </c>
    </row>
    <row r="149" customFormat="false" ht="12.8" hidden="false" customHeight="false" outlineLevel="0" collapsed="false">
      <c r="A149" s="8" t="s">
        <v>525</v>
      </c>
      <c r="B149" s="8" t="s">
        <v>526</v>
      </c>
      <c r="C149" s="8" t="s">
        <v>480</v>
      </c>
      <c r="D149" s="8" t="s">
        <v>104</v>
      </c>
      <c r="E149" s="8" t="n">
        <v>2011</v>
      </c>
      <c r="F149" s="8" t="s">
        <v>527</v>
      </c>
      <c r="G149" s="17" t="n">
        <v>1.34</v>
      </c>
      <c r="I149" s="8" t="s">
        <v>557</v>
      </c>
      <c r="J149" s="8" t="n">
        <v>209</v>
      </c>
    </row>
    <row r="150" customFormat="false" ht="12.8" hidden="false" customHeight="false" outlineLevel="0" collapsed="false">
      <c r="A150" s="8" t="s">
        <v>525</v>
      </c>
      <c r="B150" s="8" t="s">
        <v>526</v>
      </c>
      <c r="C150" s="8" t="s">
        <v>480</v>
      </c>
      <c r="D150" s="8" t="s">
        <v>132</v>
      </c>
      <c r="E150" s="8" t="n">
        <v>2011</v>
      </c>
      <c r="F150" s="8" t="s">
        <v>527</v>
      </c>
      <c r="G150" s="17" t="n">
        <v>1.34</v>
      </c>
      <c r="I150" s="8" t="s">
        <v>557</v>
      </c>
      <c r="J150" s="8" t="n">
        <v>210</v>
      </c>
    </row>
    <row r="151" customFormat="false" ht="12.8" hidden="false" customHeight="false" outlineLevel="0" collapsed="false">
      <c r="A151" s="8" t="s">
        <v>525</v>
      </c>
      <c r="B151" s="8" t="s">
        <v>526</v>
      </c>
      <c r="C151" s="8" t="s">
        <v>480</v>
      </c>
      <c r="D151" s="8" t="s">
        <v>104</v>
      </c>
      <c r="E151" s="8" t="n">
        <v>2010</v>
      </c>
      <c r="F151" s="8" t="s">
        <v>527</v>
      </c>
      <c r="G151" s="17" t="n">
        <v>1.34</v>
      </c>
      <c r="H151" s="8" t="s">
        <v>655</v>
      </c>
      <c r="I151" s="8" t="s">
        <v>567</v>
      </c>
      <c r="J151" s="8" t="n">
        <v>211</v>
      </c>
    </row>
    <row r="152" customFormat="false" ht="12.8" hidden="false" customHeight="false" outlineLevel="0" collapsed="false">
      <c r="A152" s="8" t="s">
        <v>525</v>
      </c>
      <c r="B152" s="8" t="s">
        <v>526</v>
      </c>
      <c r="C152" s="8" t="s">
        <v>480</v>
      </c>
      <c r="D152" s="8" t="s">
        <v>104</v>
      </c>
      <c r="E152" s="8" t="n">
        <v>2010</v>
      </c>
      <c r="F152" s="8" t="s">
        <v>527</v>
      </c>
      <c r="G152" s="17" t="n">
        <v>1.34</v>
      </c>
      <c r="H152" s="8" t="s">
        <v>656</v>
      </c>
      <c r="I152" s="8" t="s">
        <v>567</v>
      </c>
      <c r="J152" s="8" t="n">
        <v>212</v>
      </c>
    </row>
    <row r="153" customFormat="false" ht="12.8" hidden="false" customHeight="false" outlineLevel="0" collapsed="false">
      <c r="A153" s="8" t="s">
        <v>525</v>
      </c>
      <c r="B153" s="8" t="s">
        <v>526</v>
      </c>
      <c r="C153" s="8" t="s">
        <v>480</v>
      </c>
      <c r="D153" s="8" t="s">
        <v>95</v>
      </c>
      <c r="E153" s="8" t="n">
        <v>2011</v>
      </c>
      <c r="F153" s="8" t="s">
        <v>527</v>
      </c>
      <c r="G153" s="17" t="n">
        <v>1.34</v>
      </c>
      <c r="H153" s="8" t="s">
        <v>597</v>
      </c>
      <c r="I153" s="8" t="s">
        <v>598</v>
      </c>
      <c r="J153" s="8" t="n">
        <v>213</v>
      </c>
    </row>
    <row r="154" customFormat="false" ht="12.8" hidden="false" customHeight="false" outlineLevel="0" collapsed="false">
      <c r="A154" s="8" t="s">
        <v>525</v>
      </c>
      <c r="B154" s="8" t="s">
        <v>526</v>
      </c>
      <c r="C154" s="8" t="s">
        <v>480</v>
      </c>
      <c r="D154" s="8" t="s">
        <v>96</v>
      </c>
      <c r="E154" s="8" t="n">
        <v>2011</v>
      </c>
      <c r="F154" s="8" t="s">
        <v>527</v>
      </c>
      <c r="G154" s="17" t="n">
        <v>1.35</v>
      </c>
      <c r="H154" s="8" t="s">
        <v>597</v>
      </c>
      <c r="I154" s="8" t="s">
        <v>598</v>
      </c>
      <c r="J154" s="8" t="n">
        <v>214</v>
      </c>
    </row>
    <row r="155" customFormat="false" ht="12.8" hidden="false" customHeight="false" outlineLevel="0" collapsed="false">
      <c r="A155" s="8" t="s">
        <v>525</v>
      </c>
      <c r="B155" s="8" t="s">
        <v>526</v>
      </c>
      <c r="C155" s="8" t="s">
        <v>480</v>
      </c>
      <c r="D155" s="8" t="s">
        <v>129</v>
      </c>
      <c r="E155" s="8" t="n">
        <v>2011</v>
      </c>
      <c r="F155" s="8" t="s">
        <v>527</v>
      </c>
      <c r="G155" s="17" t="n">
        <v>1.36</v>
      </c>
      <c r="H155" s="8" t="s">
        <v>597</v>
      </c>
      <c r="I155" s="8" t="s">
        <v>598</v>
      </c>
      <c r="J155" s="8" t="n">
        <v>215</v>
      </c>
    </row>
    <row r="156" customFormat="false" ht="12.8" hidden="false" customHeight="false" outlineLevel="0" collapsed="false">
      <c r="A156" s="8" t="s">
        <v>525</v>
      </c>
      <c r="B156" s="8" t="s">
        <v>526</v>
      </c>
      <c r="C156" s="8" t="s">
        <v>480</v>
      </c>
      <c r="D156" s="8" t="s">
        <v>91</v>
      </c>
      <c r="E156" s="8" t="n">
        <v>2013</v>
      </c>
      <c r="F156" s="8" t="s">
        <v>527</v>
      </c>
      <c r="G156" s="17" t="n">
        <v>1.36</v>
      </c>
      <c r="H156" s="8" t="s">
        <v>657</v>
      </c>
      <c r="I156" s="8" t="s">
        <v>549</v>
      </c>
      <c r="J156" s="8" t="n">
        <v>216</v>
      </c>
    </row>
    <row r="157" customFormat="false" ht="12.8" hidden="false" customHeight="false" outlineLevel="0" collapsed="false">
      <c r="A157" s="8" t="s">
        <v>525</v>
      </c>
      <c r="B157" s="8" t="s">
        <v>526</v>
      </c>
      <c r="C157" s="8" t="s">
        <v>480</v>
      </c>
      <c r="D157" s="8" t="s">
        <v>102</v>
      </c>
      <c r="E157" s="8" t="n">
        <v>2011</v>
      </c>
      <c r="F157" s="8" t="s">
        <v>527</v>
      </c>
      <c r="G157" s="17" t="n">
        <v>1.37</v>
      </c>
      <c r="H157" s="8" t="s">
        <v>597</v>
      </c>
      <c r="I157" s="8" t="s">
        <v>598</v>
      </c>
      <c r="J157" s="8" t="n">
        <v>217</v>
      </c>
    </row>
    <row r="158" customFormat="false" ht="12.8" hidden="false" customHeight="false" outlineLevel="0" collapsed="false">
      <c r="A158" s="8" t="s">
        <v>525</v>
      </c>
      <c r="B158" s="8" t="s">
        <v>526</v>
      </c>
      <c r="C158" s="8" t="s">
        <v>480</v>
      </c>
      <c r="D158" s="8" t="s">
        <v>658</v>
      </c>
      <c r="E158" s="8" t="n">
        <v>2011</v>
      </c>
      <c r="F158" s="8" t="s">
        <v>527</v>
      </c>
      <c r="G158" s="17" t="n">
        <v>1.38</v>
      </c>
      <c r="I158" s="8" t="s">
        <v>557</v>
      </c>
      <c r="J158" s="8" t="n">
        <v>218</v>
      </c>
    </row>
    <row r="159" customFormat="false" ht="12.8" hidden="false" customHeight="false" outlineLevel="0" collapsed="false">
      <c r="A159" s="8" t="s">
        <v>525</v>
      </c>
      <c r="B159" s="8" t="s">
        <v>526</v>
      </c>
      <c r="C159" s="8" t="s">
        <v>480</v>
      </c>
      <c r="D159" s="8" t="s">
        <v>122</v>
      </c>
      <c r="E159" s="8" t="n">
        <v>2011</v>
      </c>
      <c r="F159" s="8" t="s">
        <v>527</v>
      </c>
      <c r="G159" s="17" t="n">
        <v>1.38</v>
      </c>
      <c r="I159" s="8" t="s">
        <v>557</v>
      </c>
      <c r="J159" s="8" t="n">
        <v>219</v>
      </c>
    </row>
    <row r="160" customFormat="false" ht="12.8" hidden="false" customHeight="false" outlineLevel="0" collapsed="false">
      <c r="A160" s="8" t="s">
        <v>525</v>
      </c>
      <c r="B160" s="8" t="s">
        <v>526</v>
      </c>
      <c r="C160" s="8" t="s">
        <v>480</v>
      </c>
      <c r="D160" s="8" t="s">
        <v>91</v>
      </c>
      <c r="E160" s="8" t="n">
        <v>2013</v>
      </c>
      <c r="F160" s="8" t="s">
        <v>527</v>
      </c>
      <c r="G160" s="17" t="n">
        <v>1.38</v>
      </c>
      <c r="H160" s="8" t="s">
        <v>659</v>
      </c>
      <c r="I160" s="8" t="s">
        <v>549</v>
      </c>
      <c r="J160" s="8" t="n">
        <v>220</v>
      </c>
    </row>
    <row r="161" customFormat="false" ht="12.8" hidden="false" customHeight="false" outlineLevel="0" collapsed="false">
      <c r="A161" s="8" t="s">
        <v>525</v>
      </c>
      <c r="B161" s="8" t="s">
        <v>526</v>
      </c>
      <c r="C161" s="8" t="s">
        <v>480</v>
      </c>
      <c r="D161" s="8" t="s">
        <v>102</v>
      </c>
      <c r="E161" s="8" t="n">
        <v>2012</v>
      </c>
      <c r="F161" s="8" t="s">
        <v>601</v>
      </c>
      <c r="G161" s="17" t="n">
        <v>1.38</v>
      </c>
      <c r="I161" s="8" t="s">
        <v>660</v>
      </c>
      <c r="J161" s="8" t="n">
        <v>221</v>
      </c>
    </row>
    <row r="162" customFormat="false" ht="12.8" hidden="false" customHeight="false" outlineLevel="0" collapsed="false">
      <c r="A162" s="8" t="s">
        <v>525</v>
      </c>
      <c r="B162" s="8" t="s">
        <v>526</v>
      </c>
      <c r="C162" s="8" t="s">
        <v>480</v>
      </c>
      <c r="D162" s="8" t="s">
        <v>133</v>
      </c>
      <c r="E162" s="8" t="n">
        <v>2009</v>
      </c>
      <c r="F162" s="8" t="s">
        <v>601</v>
      </c>
      <c r="G162" s="17" t="n">
        <v>1.389</v>
      </c>
      <c r="I162" s="8" t="s">
        <v>642</v>
      </c>
      <c r="J162" s="8" t="n">
        <v>222</v>
      </c>
    </row>
    <row r="163" customFormat="false" ht="12.8" hidden="false" customHeight="false" outlineLevel="0" collapsed="false">
      <c r="A163" s="8" t="s">
        <v>525</v>
      </c>
      <c r="B163" s="8" t="s">
        <v>526</v>
      </c>
      <c r="C163" s="8" t="s">
        <v>480</v>
      </c>
      <c r="D163" s="8" t="s">
        <v>102</v>
      </c>
      <c r="E163" s="8" t="n">
        <v>2012</v>
      </c>
      <c r="F163" s="8" t="s">
        <v>601</v>
      </c>
      <c r="G163" s="17" t="n">
        <v>1.399</v>
      </c>
      <c r="H163" s="8" t="s">
        <v>661</v>
      </c>
      <c r="I163" s="8" t="s">
        <v>662</v>
      </c>
      <c r="J163" s="8" t="n">
        <v>223</v>
      </c>
    </row>
    <row r="164" customFormat="false" ht="12.8" hidden="false" customHeight="false" outlineLevel="0" collapsed="false">
      <c r="A164" s="8" t="s">
        <v>525</v>
      </c>
      <c r="B164" s="8" t="s">
        <v>526</v>
      </c>
      <c r="C164" s="8" t="s">
        <v>480</v>
      </c>
      <c r="D164" s="8" t="s">
        <v>153</v>
      </c>
      <c r="E164" s="8" t="n">
        <v>2006</v>
      </c>
      <c r="F164" s="8" t="s">
        <v>538</v>
      </c>
      <c r="G164" s="17" t="n">
        <v>1.4</v>
      </c>
      <c r="I164" s="8" t="s">
        <v>663</v>
      </c>
      <c r="J164" s="8" t="n">
        <v>224</v>
      </c>
    </row>
    <row r="165" customFormat="false" ht="12.8" hidden="false" customHeight="false" outlineLevel="0" collapsed="false">
      <c r="A165" s="8" t="s">
        <v>525</v>
      </c>
      <c r="B165" s="8" t="s">
        <v>526</v>
      </c>
      <c r="C165" s="8" t="s">
        <v>480</v>
      </c>
      <c r="D165" s="8" t="s">
        <v>664</v>
      </c>
      <c r="E165" s="8" t="n">
        <v>2011</v>
      </c>
      <c r="F165" s="8" t="s">
        <v>527</v>
      </c>
      <c r="G165" s="17" t="n">
        <v>1.4</v>
      </c>
      <c r="I165" s="8" t="s">
        <v>557</v>
      </c>
      <c r="J165" s="8" t="n">
        <v>225</v>
      </c>
    </row>
    <row r="166" customFormat="false" ht="12.8" hidden="false" customHeight="false" outlineLevel="0" collapsed="false">
      <c r="A166" s="8" t="s">
        <v>525</v>
      </c>
      <c r="B166" s="8" t="s">
        <v>526</v>
      </c>
      <c r="C166" s="8" t="s">
        <v>480</v>
      </c>
      <c r="D166" s="8" t="s">
        <v>95</v>
      </c>
      <c r="E166" s="8" t="n">
        <v>2011</v>
      </c>
      <c r="F166" s="8" t="s">
        <v>527</v>
      </c>
      <c r="G166" s="17" t="n">
        <v>1.4</v>
      </c>
      <c r="H166" s="8" t="s">
        <v>596</v>
      </c>
      <c r="I166" s="8" t="s">
        <v>557</v>
      </c>
      <c r="J166" s="8" t="n">
        <v>226</v>
      </c>
    </row>
    <row r="167" customFormat="false" ht="12.8" hidden="false" customHeight="false" outlineLevel="0" collapsed="false">
      <c r="A167" s="8" t="s">
        <v>525</v>
      </c>
      <c r="B167" s="8" t="s">
        <v>526</v>
      </c>
      <c r="C167" s="8" t="s">
        <v>480</v>
      </c>
      <c r="D167" s="8" t="s">
        <v>130</v>
      </c>
      <c r="E167" s="8" t="n">
        <v>2011</v>
      </c>
      <c r="F167" s="8" t="s">
        <v>527</v>
      </c>
      <c r="G167" s="17" t="n">
        <v>1.4</v>
      </c>
      <c r="H167" s="8" t="s">
        <v>597</v>
      </c>
      <c r="I167" s="8" t="s">
        <v>598</v>
      </c>
      <c r="J167" s="8" t="n">
        <v>227</v>
      </c>
    </row>
    <row r="168" customFormat="false" ht="12.8" hidden="false" customHeight="false" outlineLevel="0" collapsed="false">
      <c r="A168" s="8" t="s">
        <v>525</v>
      </c>
      <c r="B168" s="8" t="s">
        <v>526</v>
      </c>
      <c r="C168" s="8" t="s">
        <v>480</v>
      </c>
      <c r="D168" s="8" t="s">
        <v>91</v>
      </c>
      <c r="E168" s="8" t="n">
        <v>2013</v>
      </c>
      <c r="F168" s="8" t="s">
        <v>527</v>
      </c>
      <c r="G168" s="17" t="n">
        <v>1.4</v>
      </c>
      <c r="H168" s="8" t="s">
        <v>665</v>
      </c>
      <c r="I168" s="8" t="s">
        <v>549</v>
      </c>
      <c r="J168" s="8" t="n">
        <v>228</v>
      </c>
    </row>
    <row r="169" customFormat="false" ht="12.8" hidden="false" customHeight="false" outlineLevel="0" collapsed="false">
      <c r="A169" s="8" t="s">
        <v>525</v>
      </c>
      <c r="B169" s="8" t="s">
        <v>526</v>
      </c>
      <c r="C169" s="8" t="s">
        <v>480</v>
      </c>
      <c r="D169" s="8" t="s">
        <v>666</v>
      </c>
      <c r="E169" s="8" t="n">
        <v>2010</v>
      </c>
      <c r="F169" s="8" t="s">
        <v>544</v>
      </c>
      <c r="G169" s="17" t="n">
        <v>1.4</v>
      </c>
      <c r="I169" s="8" t="s">
        <v>619</v>
      </c>
      <c r="J169" s="8" t="n">
        <v>229</v>
      </c>
    </row>
    <row r="170" customFormat="false" ht="12.8" hidden="false" customHeight="false" outlineLevel="0" collapsed="false">
      <c r="A170" s="8" t="s">
        <v>525</v>
      </c>
      <c r="B170" s="8" t="s">
        <v>526</v>
      </c>
      <c r="C170" s="8" t="s">
        <v>480</v>
      </c>
      <c r="D170" s="8" t="s">
        <v>113</v>
      </c>
      <c r="E170" s="8" t="n">
        <v>2010</v>
      </c>
      <c r="F170" s="8" t="s">
        <v>544</v>
      </c>
      <c r="G170" s="17" t="n">
        <v>1.4</v>
      </c>
      <c r="I170" s="8" t="s">
        <v>619</v>
      </c>
      <c r="J170" s="8" t="n">
        <v>230</v>
      </c>
    </row>
    <row r="171" customFormat="false" ht="12.8" hidden="false" customHeight="false" outlineLevel="0" collapsed="false">
      <c r="A171" s="8" t="s">
        <v>525</v>
      </c>
      <c r="B171" s="8" t="s">
        <v>526</v>
      </c>
      <c r="C171" s="8" t="s">
        <v>480</v>
      </c>
      <c r="D171" s="8" t="s">
        <v>667</v>
      </c>
      <c r="E171" s="8" t="n">
        <v>2010</v>
      </c>
      <c r="F171" s="8" t="s">
        <v>544</v>
      </c>
      <c r="G171" s="17" t="n">
        <v>1.4</v>
      </c>
      <c r="I171" s="8" t="s">
        <v>619</v>
      </c>
      <c r="J171" s="8" t="n">
        <v>231</v>
      </c>
    </row>
    <row r="172" customFormat="false" ht="12.8" hidden="false" customHeight="false" outlineLevel="0" collapsed="false">
      <c r="A172" s="8" t="s">
        <v>525</v>
      </c>
      <c r="B172" s="8" t="s">
        <v>526</v>
      </c>
      <c r="C172" s="8" t="s">
        <v>480</v>
      </c>
      <c r="D172" s="8" t="s">
        <v>133</v>
      </c>
      <c r="E172" s="8" t="n">
        <v>2012</v>
      </c>
      <c r="F172" s="8" t="s">
        <v>601</v>
      </c>
      <c r="G172" s="17" t="n">
        <v>1.40845070422535</v>
      </c>
      <c r="H172" s="8" t="s">
        <v>636</v>
      </c>
      <c r="I172" s="8" t="s">
        <v>637</v>
      </c>
      <c r="J172" s="8" t="n">
        <v>232</v>
      </c>
    </row>
    <row r="173" customFormat="false" ht="12.8" hidden="false" customHeight="false" outlineLevel="0" collapsed="false">
      <c r="A173" s="8" t="s">
        <v>525</v>
      </c>
      <c r="B173" s="8" t="s">
        <v>526</v>
      </c>
      <c r="C173" s="8" t="s">
        <v>480</v>
      </c>
      <c r="D173" s="8" t="s">
        <v>91</v>
      </c>
      <c r="E173" s="8" t="n">
        <v>2013</v>
      </c>
      <c r="F173" s="8" t="s">
        <v>527</v>
      </c>
      <c r="G173" s="17" t="n">
        <v>1.41</v>
      </c>
      <c r="H173" s="8" t="s">
        <v>668</v>
      </c>
      <c r="I173" s="8" t="s">
        <v>549</v>
      </c>
      <c r="J173" s="8" t="n">
        <v>233</v>
      </c>
    </row>
    <row r="174" customFormat="false" ht="12.8" hidden="false" customHeight="false" outlineLevel="0" collapsed="false">
      <c r="A174" s="8" t="s">
        <v>525</v>
      </c>
      <c r="B174" s="8" t="s">
        <v>526</v>
      </c>
      <c r="C174" s="8" t="s">
        <v>480</v>
      </c>
      <c r="D174" s="8" t="s">
        <v>101</v>
      </c>
      <c r="E174" s="8" t="n">
        <v>2013</v>
      </c>
      <c r="F174" s="8" t="s">
        <v>527</v>
      </c>
      <c r="G174" s="17" t="n">
        <v>1.42</v>
      </c>
      <c r="I174" s="8" t="s">
        <v>534</v>
      </c>
      <c r="J174" s="8" t="n">
        <v>234</v>
      </c>
    </row>
    <row r="175" customFormat="false" ht="12.8" hidden="false" customHeight="false" outlineLevel="0" collapsed="false">
      <c r="A175" s="8" t="s">
        <v>525</v>
      </c>
      <c r="B175" s="8" t="s">
        <v>526</v>
      </c>
      <c r="C175" s="8" t="s">
        <v>480</v>
      </c>
      <c r="D175" s="8" t="s">
        <v>108</v>
      </c>
      <c r="E175" s="8" t="n">
        <v>2011</v>
      </c>
      <c r="F175" s="8" t="s">
        <v>527</v>
      </c>
      <c r="G175" s="17" t="n">
        <v>1.42</v>
      </c>
      <c r="I175" s="8" t="s">
        <v>557</v>
      </c>
      <c r="J175" s="8" t="n">
        <v>235</v>
      </c>
    </row>
    <row r="176" customFormat="false" ht="12.8" hidden="false" customHeight="false" outlineLevel="0" collapsed="false">
      <c r="A176" s="8" t="s">
        <v>525</v>
      </c>
      <c r="B176" s="8" t="s">
        <v>526</v>
      </c>
      <c r="C176" s="8" t="s">
        <v>480</v>
      </c>
      <c r="D176" s="8" t="s">
        <v>123</v>
      </c>
      <c r="E176" s="8" t="n">
        <v>2007</v>
      </c>
      <c r="F176" s="8" t="s">
        <v>538</v>
      </c>
      <c r="G176" s="17" t="n">
        <v>1.42</v>
      </c>
      <c r="I176" s="8" t="s">
        <v>543</v>
      </c>
      <c r="J176" s="8" t="n">
        <v>236</v>
      </c>
    </row>
    <row r="177" customFormat="false" ht="12.8" hidden="false" customHeight="false" outlineLevel="0" collapsed="false">
      <c r="A177" s="8" t="s">
        <v>525</v>
      </c>
      <c r="B177" s="8" t="s">
        <v>526</v>
      </c>
      <c r="C177" s="8" t="s">
        <v>480</v>
      </c>
      <c r="D177" s="8" t="s">
        <v>664</v>
      </c>
      <c r="E177" s="8" t="n">
        <v>2010</v>
      </c>
      <c r="F177" s="8" t="s">
        <v>544</v>
      </c>
      <c r="G177" s="17" t="n">
        <v>1.42</v>
      </c>
      <c r="I177" s="8" t="s">
        <v>669</v>
      </c>
      <c r="J177" s="8" t="n">
        <v>237</v>
      </c>
    </row>
    <row r="178" customFormat="false" ht="12.8" hidden="false" customHeight="false" outlineLevel="0" collapsed="false">
      <c r="A178" s="8" t="s">
        <v>525</v>
      </c>
      <c r="B178" s="8" t="s">
        <v>526</v>
      </c>
      <c r="C178" s="8" t="s">
        <v>480</v>
      </c>
      <c r="D178" s="8" t="s">
        <v>91</v>
      </c>
      <c r="E178" s="8" t="n">
        <v>2013</v>
      </c>
      <c r="F178" s="8" t="s">
        <v>527</v>
      </c>
      <c r="G178" s="17" t="n">
        <v>1.42</v>
      </c>
      <c r="H178" s="8" t="s">
        <v>670</v>
      </c>
      <c r="I178" s="8" t="s">
        <v>549</v>
      </c>
      <c r="J178" s="8" t="n">
        <v>238</v>
      </c>
    </row>
    <row r="179" customFormat="false" ht="12.8" hidden="false" customHeight="false" outlineLevel="0" collapsed="false">
      <c r="A179" s="8" t="s">
        <v>525</v>
      </c>
      <c r="B179" s="8" t="s">
        <v>526</v>
      </c>
      <c r="C179" s="8" t="s">
        <v>480</v>
      </c>
      <c r="D179" s="8" t="s">
        <v>102</v>
      </c>
      <c r="E179" s="8" t="n">
        <v>2012</v>
      </c>
      <c r="F179" s="8" t="s">
        <v>601</v>
      </c>
      <c r="G179" s="17" t="n">
        <v>1.42</v>
      </c>
      <c r="I179" s="8" t="s">
        <v>660</v>
      </c>
      <c r="J179" s="8" t="n">
        <v>239</v>
      </c>
    </row>
    <row r="180" customFormat="false" ht="12.8" hidden="false" customHeight="false" outlineLevel="0" collapsed="false">
      <c r="A180" s="8" t="s">
        <v>525</v>
      </c>
      <c r="B180" s="8" t="s">
        <v>526</v>
      </c>
      <c r="C180" s="8" t="s">
        <v>480</v>
      </c>
      <c r="D180" s="8" t="s">
        <v>91</v>
      </c>
      <c r="E180" s="8" t="n">
        <v>2013</v>
      </c>
      <c r="F180" s="8" t="s">
        <v>527</v>
      </c>
      <c r="G180" s="17" t="n">
        <v>1.43</v>
      </c>
      <c r="H180" s="8" t="s">
        <v>671</v>
      </c>
      <c r="I180" s="8" t="s">
        <v>549</v>
      </c>
      <c r="J180" s="8" t="n">
        <v>240</v>
      </c>
    </row>
    <row r="181" customFormat="false" ht="12.8" hidden="false" customHeight="false" outlineLevel="0" collapsed="false">
      <c r="A181" s="8" t="s">
        <v>525</v>
      </c>
      <c r="B181" s="8" t="s">
        <v>526</v>
      </c>
      <c r="C181" s="8" t="s">
        <v>480</v>
      </c>
      <c r="D181" s="8" t="s">
        <v>102</v>
      </c>
      <c r="E181" s="8" t="n">
        <v>2013</v>
      </c>
      <c r="F181" s="8" t="s">
        <v>527</v>
      </c>
      <c r="G181" s="17" t="n">
        <v>1.44</v>
      </c>
      <c r="I181" s="8" t="s">
        <v>672</v>
      </c>
      <c r="J181" s="8" t="n">
        <v>241</v>
      </c>
    </row>
    <row r="182" customFormat="false" ht="12.8" hidden="false" customHeight="false" outlineLevel="0" collapsed="false">
      <c r="A182" s="8" t="s">
        <v>525</v>
      </c>
      <c r="B182" s="8" t="s">
        <v>526</v>
      </c>
      <c r="C182" s="8" t="s">
        <v>480</v>
      </c>
      <c r="D182" s="8" t="s">
        <v>102</v>
      </c>
      <c r="E182" s="8" t="n">
        <v>2012</v>
      </c>
      <c r="F182" s="8" t="s">
        <v>527</v>
      </c>
      <c r="G182" s="17" t="n">
        <v>1.44</v>
      </c>
      <c r="I182" s="8" t="s">
        <v>673</v>
      </c>
      <c r="J182" s="8" t="n">
        <v>242</v>
      </c>
    </row>
    <row r="183" customFormat="false" ht="12.8" hidden="false" customHeight="false" outlineLevel="0" collapsed="false">
      <c r="A183" s="8" t="s">
        <v>525</v>
      </c>
      <c r="B183" s="8" t="s">
        <v>526</v>
      </c>
      <c r="C183" s="8" t="s">
        <v>480</v>
      </c>
      <c r="D183" s="8" t="s">
        <v>95</v>
      </c>
      <c r="E183" s="8" t="n">
        <v>2001</v>
      </c>
      <c r="F183" s="8" t="s">
        <v>527</v>
      </c>
      <c r="G183" s="17" t="n">
        <v>1.44</v>
      </c>
      <c r="H183" s="8" t="s">
        <v>674</v>
      </c>
      <c r="I183" s="8" t="s">
        <v>594</v>
      </c>
      <c r="J183" s="8" t="n">
        <v>243</v>
      </c>
    </row>
    <row r="184" customFormat="false" ht="12.8" hidden="false" customHeight="false" outlineLevel="0" collapsed="false">
      <c r="A184" s="8" t="s">
        <v>525</v>
      </c>
      <c r="B184" s="8" t="s">
        <v>526</v>
      </c>
      <c r="C184" s="8" t="s">
        <v>480</v>
      </c>
      <c r="D184" s="8" t="s">
        <v>95</v>
      </c>
      <c r="E184" s="8" t="n">
        <v>2001</v>
      </c>
      <c r="F184" s="8" t="s">
        <v>527</v>
      </c>
      <c r="G184" s="17" t="n">
        <v>1.44</v>
      </c>
      <c r="H184" s="8" t="s">
        <v>547</v>
      </c>
      <c r="I184" s="8" t="s">
        <v>594</v>
      </c>
      <c r="J184" s="8" t="n">
        <v>244</v>
      </c>
    </row>
    <row r="185" customFormat="false" ht="12.8" hidden="false" customHeight="false" outlineLevel="0" collapsed="false">
      <c r="A185" s="8" t="s">
        <v>525</v>
      </c>
      <c r="B185" s="8" t="s">
        <v>526</v>
      </c>
      <c r="C185" s="8" t="s">
        <v>480</v>
      </c>
      <c r="D185" s="8" t="s">
        <v>103</v>
      </c>
      <c r="E185" s="8" t="n">
        <v>2011</v>
      </c>
      <c r="F185" s="8" t="s">
        <v>527</v>
      </c>
      <c r="G185" s="17" t="n">
        <v>1.44</v>
      </c>
      <c r="I185" s="8" t="s">
        <v>598</v>
      </c>
      <c r="J185" s="8" t="n">
        <v>245</v>
      </c>
    </row>
    <row r="186" customFormat="false" ht="12.8" hidden="false" customHeight="false" outlineLevel="0" collapsed="false">
      <c r="A186" s="8" t="s">
        <v>525</v>
      </c>
      <c r="B186" s="8" t="s">
        <v>526</v>
      </c>
      <c r="C186" s="8" t="s">
        <v>480</v>
      </c>
      <c r="D186" s="8" t="s">
        <v>102</v>
      </c>
      <c r="E186" s="8" t="n">
        <v>2012</v>
      </c>
      <c r="F186" s="8" t="s">
        <v>601</v>
      </c>
      <c r="G186" s="17" t="n">
        <v>1.44</v>
      </c>
      <c r="I186" s="8" t="s">
        <v>660</v>
      </c>
      <c r="J186" s="8" t="n">
        <v>246</v>
      </c>
    </row>
    <row r="187" customFormat="false" ht="12.8" hidden="false" customHeight="false" outlineLevel="0" collapsed="false">
      <c r="A187" s="8" t="s">
        <v>525</v>
      </c>
      <c r="B187" s="8" t="s">
        <v>526</v>
      </c>
      <c r="C187" s="8" t="s">
        <v>480</v>
      </c>
      <c r="D187" s="8" t="s">
        <v>95</v>
      </c>
      <c r="E187" s="8" t="n">
        <v>2013</v>
      </c>
      <c r="F187" s="8" t="s">
        <v>527</v>
      </c>
      <c r="G187" s="17" t="n">
        <v>1.46</v>
      </c>
      <c r="H187" s="8" t="s">
        <v>675</v>
      </c>
      <c r="I187" s="8" t="s">
        <v>534</v>
      </c>
      <c r="J187" s="8" t="n">
        <v>247</v>
      </c>
    </row>
    <row r="188" customFormat="false" ht="12.8" hidden="false" customHeight="false" outlineLevel="0" collapsed="false">
      <c r="A188" s="8" t="s">
        <v>525</v>
      </c>
      <c r="B188" s="8" t="s">
        <v>526</v>
      </c>
      <c r="C188" s="8" t="s">
        <v>480</v>
      </c>
      <c r="D188" s="8" t="s">
        <v>110</v>
      </c>
      <c r="E188" s="8" t="n">
        <v>2011</v>
      </c>
      <c r="F188" s="8" t="s">
        <v>527</v>
      </c>
      <c r="G188" s="17" t="n">
        <v>1.46</v>
      </c>
      <c r="I188" s="8" t="s">
        <v>557</v>
      </c>
      <c r="J188" s="8" t="n">
        <v>248</v>
      </c>
    </row>
    <row r="189" customFormat="false" ht="12.8" hidden="false" customHeight="false" outlineLevel="0" collapsed="false">
      <c r="A189" s="8" t="s">
        <v>525</v>
      </c>
      <c r="B189" s="8" t="s">
        <v>526</v>
      </c>
      <c r="C189" s="8" t="s">
        <v>480</v>
      </c>
      <c r="D189" s="8" t="s">
        <v>121</v>
      </c>
      <c r="E189" s="8" t="n">
        <v>2011</v>
      </c>
      <c r="F189" s="8" t="s">
        <v>527</v>
      </c>
      <c r="G189" s="17" t="n">
        <v>1.46</v>
      </c>
      <c r="H189" s="8" t="s">
        <v>597</v>
      </c>
      <c r="I189" s="8" t="s">
        <v>598</v>
      </c>
      <c r="J189" s="8" t="n">
        <v>249</v>
      </c>
    </row>
    <row r="190" customFormat="false" ht="12.8" hidden="false" customHeight="false" outlineLevel="0" collapsed="false">
      <c r="A190" s="8" t="s">
        <v>525</v>
      </c>
      <c r="B190" s="8" t="s">
        <v>526</v>
      </c>
      <c r="C190" s="8" t="s">
        <v>480</v>
      </c>
      <c r="D190" s="8" t="s">
        <v>123</v>
      </c>
      <c r="E190" s="8" t="n">
        <v>2007</v>
      </c>
      <c r="F190" s="8" t="s">
        <v>538</v>
      </c>
      <c r="G190" s="17" t="n">
        <v>1.47</v>
      </c>
      <c r="I190" s="8" t="s">
        <v>543</v>
      </c>
      <c r="J190" s="8" t="n">
        <v>250</v>
      </c>
    </row>
    <row r="191" customFormat="false" ht="12.8" hidden="false" customHeight="false" outlineLevel="0" collapsed="false">
      <c r="A191" s="8" t="s">
        <v>525</v>
      </c>
      <c r="B191" s="8" t="s">
        <v>526</v>
      </c>
      <c r="C191" s="8" t="s">
        <v>480</v>
      </c>
      <c r="D191" s="8" t="s">
        <v>91</v>
      </c>
      <c r="E191" s="8" t="n">
        <v>2013</v>
      </c>
      <c r="F191" s="8" t="s">
        <v>527</v>
      </c>
      <c r="G191" s="17" t="n">
        <v>1.47</v>
      </c>
      <c r="H191" s="8" t="s">
        <v>676</v>
      </c>
      <c r="I191" s="8" t="s">
        <v>549</v>
      </c>
      <c r="J191" s="8" t="n">
        <v>251</v>
      </c>
    </row>
    <row r="192" customFormat="false" ht="12.8" hidden="false" customHeight="false" outlineLevel="0" collapsed="false">
      <c r="A192" s="8" t="s">
        <v>525</v>
      </c>
      <c r="B192" s="8" t="s">
        <v>526</v>
      </c>
      <c r="C192" s="8" t="s">
        <v>480</v>
      </c>
      <c r="D192" s="8" t="s">
        <v>133</v>
      </c>
      <c r="E192" s="8" t="n">
        <v>2014</v>
      </c>
      <c r="F192" s="8" t="s">
        <v>527</v>
      </c>
      <c r="G192" s="17" t="n">
        <v>1.47686</v>
      </c>
      <c r="I192" s="8" t="s">
        <v>536</v>
      </c>
      <c r="J192" s="8" t="n">
        <v>252</v>
      </c>
    </row>
    <row r="193" customFormat="false" ht="12.8" hidden="false" customHeight="false" outlineLevel="0" collapsed="false">
      <c r="A193" s="8" t="s">
        <v>525</v>
      </c>
      <c r="B193" s="8" t="s">
        <v>526</v>
      </c>
      <c r="C193" s="8" t="s">
        <v>480</v>
      </c>
      <c r="D193" s="8" t="s">
        <v>102</v>
      </c>
      <c r="E193" s="8" t="n">
        <v>2012</v>
      </c>
      <c r="F193" s="8" t="s">
        <v>544</v>
      </c>
      <c r="G193" s="17" t="n">
        <v>1.49</v>
      </c>
      <c r="I193" s="8" t="s">
        <v>654</v>
      </c>
      <c r="J193" s="8" t="n">
        <v>253</v>
      </c>
    </row>
    <row r="194" customFormat="false" ht="12.8" hidden="false" customHeight="false" outlineLevel="0" collapsed="false">
      <c r="A194" s="8" t="s">
        <v>525</v>
      </c>
      <c r="B194" s="8" t="s">
        <v>526</v>
      </c>
      <c r="C194" s="8" t="s">
        <v>480</v>
      </c>
      <c r="D194" s="8" t="s">
        <v>102</v>
      </c>
      <c r="E194" s="8" t="n">
        <v>2013</v>
      </c>
      <c r="F194" s="8" t="s">
        <v>527</v>
      </c>
      <c r="G194" s="17" t="n">
        <v>1.49</v>
      </c>
      <c r="I194" s="8" t="s">
        <v>534</v>
      </c>
      <c r="J194" s="8" t="n">
        <v>254</v>
      </c>
    </row>
    <row r="195" customFormat="false" ht="12.8" hidden="false" customHeight="false" outlineLevel="0" collapsed="false">
      <c r="A195" s="8" t="s">
        <v>525</v>
      </c>
      <c r="B195" s="8" t="s">
        <v>526</v>
      </c>
      <c r="C195" s="8" t="s">
        <v>480</v>
      </c>
      <c r="D195" s="8" t="s">
        <v>126</v>
      </c>
      <c r="E195" s="8" t="n">
        <v>2011</v>
      </c>
      <c r="F195" s="8" t="s">
        <v>527</v>
      </c>
      <c r="G195" s="17" t="n">
        <v>1.49</v>
      </c>
      <c r="H195" s="8" t="s">
        <v>597</v>
      </c>
      <c r="I195" s="8" t="s">
        <v>598</v>
      </c>
      <c r="J195" s="8" t="n">
        <v>255</v>
      </c>
    </row>
    <row r="196" customFormat="false" ht="12.8" hidden="false" customHeight="false" outlineLevel="0" collapsed="false">
      <c r="A196" s="8" t="s">
        <v>525</v>
      </c>
      <c r="B196" s="8" t="s">
        <v>526</v>
      </c>
      <c r="C196" s="8" t="s">
        <v>480</v>
      </c>
      <c r="D196" s="8" t="s">
        <v>119</v>
      </c>
      <c r="E196" s="8" t="n">
        <v>2005</v>
      </c>
      <c r="F196" s="8" t="s">
        <v>527</v>
      </c>
      <c r="G196" s="17" t="n">
        <v>1.5</v>
      </c>
      <c r="I196" s="8" t="s">
        <v>677</v>
      </c>
      <c r="J196" s="8" t="n">
        <v>256</v>
      </c>
    </row>
    <row r="197" customFormat="false" ht="12.8" hidden="false" customHeight="false" outlineLevel="0" collapsed="false">
      <c r="A197" s="8" t="s">
        <v>525</v>
      </c>
      <c r="B197" s="8" t="s">
        <v>526</v>
      </c>
      <c r="C197" s="8" t="s">
        <v>480</v>
      </c>
      <c r="D197" s="8" t="s">
        <v>102</v>
      </c>
      <c r="E197" s="8" t="n">
        <v>2011</v>
      </c>
      <c r="F197" s="8" t="s">
        <v>527</v>
      </c>
      <c r="G197" s="17" t="n">
        <v>1.5</v>
      </c>
      <c r="I197" s="8" t="s">
        <v>678</v>
      </c>
      <c r="J197" s="8" t="n">
        <v>257</v>
      </c>
    </row>
    <row r="198" customFormat="false" ht="12.8" hidden="false" customHeight="false" outlineLevel="0" collapsed="false">
      <c r="A198" s="8" t="s">
        <v>525</v>
      </c>
      <c r="B198" s="8" t="s">
        <v>526</v>
      </c>
      <c r="C198" s="8" t="s">
        <v>480</v>
      </c>
      <c r="D198" s="8" t="s">
        <v>136</v>
      </c>
      <c r="E198" s="8" t="n">
        <v>2010</v>
      </c>
      <c r="F198" s="8" t="s">
        <v>544</v>
      </c>
      <c r="G198" s="17" t="n">
        <v>1.5</v>
      </c>
      <c r="I198" s="8" t="s">
        <v>619</v>
      </c>
      <c r="J198" s="8" t="n">
        <v>258</v>
      </c>
    </row>
    <row r="199" customFormat="false" ht="12.8" hidden="false" customHeight="false" outlineLevel="0" collapsed="false">
      <c r="A199" s="8" t="s">
        <v>525</v>
      </c>
      <c r="B199" s="8" t="s">
        <v>526</v>
      </c>
      <c r="C199" s="8" t="s">
        <v>480</v>
      </c>
      <c r="D199" s="8" t="s">
        <v>95</v>
      </c>
      <c r="E199" s="8" t="n">
        <v>2014</v>
      </c>
      <c r="F199" s="8" t="s">
        <v>527</v>
      </c>
      <c r="G199" s="17" t="n">
        <v>1.506</v>
      </c>
      <c r="I199" s="8" t="s">
        <v>573</v>
      </c>
      <c r="J199" s="8" t="n">
        <v>259</v>
      </c>
    </row>
    <row r="200" customFormat="false" ht="12.8" hidden="false" customHeight="false" outlineLevel="0" collapsed="false">
      <c r="A200" s="8" t="s">
        <v>525</v>
      </c>
      <c r="B200" s="8" t="s">
        <v>526</v>
      </c>
      <c r="C200" s="8" t="s">
        <v>480</v>
      </c>
      <c r="D200" s="8" t="s">
        <v>91</v>
      </c>
      <c r="E200" s="8" t="n">
        <v>2013</v>
      </c>
      <c r="F200" s="8" t="s">
        <v>527</v>
      </c>
      <c r="G200" s="17" t="n">
        <v>1.53</v>
      </c>
      <c r="H200" s="8" t="s">
        <v>679</v>
      </c>
      <c r="I200" s="8" t="s">
        <v>549</v>
      </c>
      <c r="J200" s="8" t="n">
        <v>260</v>
      </c>
    </row>
    <row r="201" customFormat="false" ht="12.8" hidden="false" customHeight="false" outlineLevel="0" collapsed="false">
      <c r="A201" s="8" t="s">
        <v>525</v>
      </c>
      <c r="B201" s="8" t="s">
        <v>526</v>
      </c>
      <c r="C201" s="8" t="s">
        <v>480</v>
      </c>
      <c r="D201" s="8" t="s">
        <v>680</v>
      </c>
      <c r="E201" s="8" t="n">
        <v>2011</v>
      </c>
      <c r="F201" s="8" t="s">
        <v>527</v>
      </c>
      <c r="G201" s="17" t="n">
        <v>1.54</v>
      </c>
      <c r="H201" s="8" t="s">
        <v>681</v>
      </c>
      <c r="I201" s="8" t="s">
        <v>682</v>
      </c>
      <c r="J201" s="8" t="n">
        <v>261</v>
      </c>
    </row>
    <row r="202" customFormat="false" ht="12.8" hidden="false" customHeight="false" outlineLevel="0" collapsed="false">
      <c r="A202" s="8" t="s">
        <v>525</v>
      </c>
      <c r="B202" s="8" t="s">
        <v>526</v>
      </c>
      <c r="C202" s="8" t="s">
        <v>480</v>
      </c>
      <c r="D202" s="8" t="s">
        <v>102</v>
      </c>
      <c r="E202" s="8" t="n">
        <v>2010</v>
      </c>
      <c r="F202" s="8" t="s">
        <v>527</v>
      </c>
      <c r="G202" s="17" t="n">
        <v>1.54</v>
      </c>
      <c r="I202" s="8" t="s">
        <v>678</v>
      </c>
      <c r="J202" s="8" t="n">
        <v>262</v>
      </c>
    </row>
    <row r="203" customFormat="false" ht="12.8" hidden="false" customHeight="false" outlineLevel="0" collapsed="false">
      <c r="A203" s="8" t="s">
        <v>525</v>
      </c>
      <c r="B203" s="8" t="s">
        <v>526</v>
      </c>
      <c r="C203" s="8" t="s">
        <v>480</v>
      </c>
      <c r="D203" s="8" t="s">
        <v>102</v>
      </c>
      <c r="E203" s="8" t="n">
        <v>2010</v>
      </c>
      <c r="F203" s="8" t="s">
        <v>544</v>
      </c>
      <c r="G203" s="17" t="n">
        <v>1.54</v>
      </c>
      <c r="I203" s="8" t="s">
        <v>683</v>
      </c>
      <c r="J203" s="8" t="n">
        <v>263</v>
      </c>
    </row>
    <row r="204" customFormat="false" ht="12.8" hidden="false" customHeight="false" outlineLevel="0" collapsed="false">
      <c r="A204" s="8" t="s">
        <v>525</v>
      </c>
      <c r="B204" s="8" t="s">
        <v>526</v>
      </c>
      <c r="C204" s="8" t="s">
        <v>480</v>
      </c>
      <c r="D204" s="8" t="s">
        <v>124</v>
      </c>
      <c r="E204" s="8" t="n">
        <v>2011</v>
      </c>
      <c r="F204" s="8" t="s">
        <v>527</v>
      </c>
      <c r="G204" s="17" t="n">
        <v>1.54</v>
      </c>
      <c r="I204" s="8" t="s">
        <v>557</v>
      </c>
      <c r="J204" s="8" t="n">
        <v>264</v>
      </c>
    </row>
    <row r="205" customFormat="false" ht="12.8" hidden="false" customHeight="false" outlineLevel="0" collapsed="false">
      <c r="A205" s="8" t="s">
        <v>525</v>
      </c>
      <c r="B205" s="8" t="s">
        <v>526</v>
      </c>
      <c r="C205" s="8" t="s">
        <v>480</v>
      </c>
      <c r="D205" s="8" t="s">
        <v>684</v>
      </c>
      <c r="E205" s="8" t="n">
        <v>2011</v>
      </c>
      <c r="F205" s="8" t="s">
        <v>527</v>
      </c>
      <c r="G205" s="17" t="n">
        <v>1.54</v>
      </c>
      <c r="I205" s="8" t="s">
        <v>557</v>
      </c>
      <c r="J205" s="8" t="n">
        <v>265</v>
      </c>
    </row>
    <row r="206" customFormat="false" ht="12.8" hidden="false" customHeight="false" outlineLevel="0" collapsed="false">
      <c r="A206" s="8" t="s">
        <v>525</v>
      </c>
      <c r="B206" s="8" t="s">
        <v>526</v>
      </c>
      <c r="C206" s="8" t="s">
        <v>480</v>
      </c>
      <c r="D206" s="8" t="s">
        <v>116</v>
      </c>
      <c r="E206" s="8" t="n">
        <v>2011</v>
      </c>
      <c r="F206" s="8" t="s">
        <v>527</v>
      </c>
      <c r="G206" s="17" t="n">
        <v>1.54</v>
      </c>
      <c r="H206" s="8" t="s">
        <v>597</v>
      </c>
      <c r="I206" s="8" t="s">
        <v>598</v>
      </c>
      <c r="J206" s="8" t="n">
        <v>266</v>
      </c>
    </row>
    <row r="207" customFormat="false" ht="12.8" hidden="false" customHeight="false" outlineLevel="0" collapsed="false">
      <c r="A207" s="8" t="s">
        <v>525</v>
      </c>
      <c r="B207" s="8" t="s">
        <v>526</v>
      </c>
      <c r="C207" s="8" t="s">
        <v>480</v>
      </c>
      <c r="D207" s="8" t="s">
        <v>103</v>
      </c>
      <c r="E207" s="8" t="n">
        <v>2009</v>
      </c>
      <c r="F207" s="8" t="s">
        <v>527</v>
      </c>
      <c r="G207" s="17" t="n">
        <v>1.54</v>
      </c>
      <c r="I207" s="8" t="s">
        <v>685</v>
      </c>
      <c r="J207" s="8" t="n">
        <v>267</v>
      </c>
    </row>
    <row r="208" customFormat="false" ht="12.8" hidden="false" customHeight="false" outlineLevel="0" collapsed="false">
      <c r="A208" s="8" t="s">
        <v>525</v>
      </c>
      <c r="B208" s="8" t="s">
        <v>526</v>
      </c>
      <c r="C208" s="8" t="s">
        <v>480</v>
      </c>
      <c r="D208" s="8" t="s">
        <v>91</v>
      </c>
      <c r="E208" s="8" t="n">
        <v>2013</v>
      </c>
      <c r="F208" s="8" t="s">
        <v>527</v>
      </c>
      <c r="G208" s="17" t="n">
        <v>1.55</v>
      </c>
      <c r="H208" s="8" t="s">
        <v>686</v>
      </c>
      <c r="I208" s="8" t="s">
        <v>549</v>
      </c>
      <c r="J208" s="8" t="n">
        <v>268</v>
      </c>
    </row>
    <row r="209" customFormat="false" ht="12.8" hidden="false" customHeight="false" outlineLevel="0" collapsed="false">
      <c r="A209" s="8" t="s">
        <v>525</v>
      </c>
      <c r="B209" s="8" t="s">
        <v>526</v>
      </c>
      <c r="C209" s="8" t="s">
        <v>480</v>
      </c>
      <c r="D209" s="8" t="s">
        <v>664</v>
      </c>
      <c r="E209" s="8" t="n">
        <v>2010</v>
      </c>
      <c r="F209" s="8" t="s">
        <v>544</v>
      </c>
      <c r="G209" s="17" t="n">
        <v>1.556</v>
      </c>
      <c r="I209" s="8" t="s">
        <v>687</v>
      </c>
      <c r="J209" s="8" t="n">
        <v>269</v>
      </c>
    </row>
    <row r="210" customFormat="false" ht="12.8" hidden="false" customHeight="false" outlineLevel="0" collapsed="false">
      <c r="A210" s="8" t="s">
        <v>525</v>
      </c>
      <c r="B210" s="8" t="s">
        <v>526</v>
      </c>
      <c r="C210" s="8" t="s">
        <v>480</v>
      </c>
      <c r="D210" s="8" t="s">
        <v>91</v>
      </c>
      <c r="E210" s="8" t="n">
        <v>2013</v>
      </c>
      <c r="F210" s="8" t="s">
        <v>527</v>
      </c>
      <c r="G210" s="17" t="n">
        <v>1.57</v>
      </c>
      <c r="H210" s="8" t="s">
        <v>688</v>
      </c>
      <c r="I210" s="8" t="s">
        <v>549</v>
      </c>
      <c r="J210" s="8" t="n">
        <v>270</v>
      </c>
    </row>
    <row r="211" customFormat="false" ht="12.8" hidden="false" customHeight="false" outlineLevel="0" collapsed="false">
      <c r="A211" s="8" t="s">
        <v>525</v>
      </c>
      <c r="B211" s="8" t="s">
        <v>526</v>
      </c>
      <c r="C211" s="8" t="s">
        <v>480</v>
      </c>
      <c r="D211" s="8" t="s">
        <v>133</v>
      </c>
      <c r="E211" s="8" t="n">
        <v>2012</v>
      </c>
      <c r="F211" s="8" t="s">
        <v>601</v>
      </c>
      <c r="G211" s="17" t="n">
        <v>1.58450704225352</v>
      </c>
      <c r="H211" s="8" t="s">
        <v>636</v>
      </c>
      <c r="I211" s="8" t="s">
        <v>637</v>
      </c>
      <c r="J211" s="8" t="n">
        <v>271</v>
      </c>
    </row>
    <row r="212" customFormat="false" ht="12.8" hidden="false" customHeight="false" outlineLevel="0" collapsed="false">
      <c r="A212" s="8" t="s">
        <v>525</v>
      </c>
      <c r="B212" s="8" t="s">
        <v>526</v>
      </c>
      <c r="C212" s="8" t="s">
        <v>480</v>
      </c>
      <c r="D212" s="8" t="s">
        <v>101</v>
      </c>
      <c r="E212" s="8" t="n">
        <v>2013</v>
      </c>
      <c r="F212" s="8" t="s">
        <v>527</v>
      </c>
      <c r="G212" s="17" t="n">
        <v>1.59</v>
      </c>
      <c r="H212" s="8" t="s">
        <v>689</v>
      </c>
      <c r="I212" s="8" t="s">
        <v>534</v>
      </c>
      <c r="J212" s="8" t="n">
        <v>272</v>
      </c>
    </row>
    <row r="213" customFormat="false" ht="12.8" hidden="false" customHeight="false" outlineLevel="0" collapsed="false">
      <c r="A213" s="8" t="s">
        <v>525</v>
      </c>
      <c r="B213" s="8" t="s">
        <v>526</v>
      </c>
      <c r="C213" s="8" t="s">
        <v>480</v>
      </c>
      <c r="D213" s="8" t="s">
        <v>91</v>
      </c>
      <c r="E213" s="8" t="n">
        <v>2013</v>
      </c>
      <c r="F213" s="8" t="s">
        <v>527</v>
      </c>
      <c r="G213" s="17" t="n">
        <v>1.59</v>
      </c>
      <c r="H213" s="8" t="s">
        <v>690</v>
      </c>
      <c r="I213" s="8" t="s">
        <v>549</v>
      </c>
      <c r="J213" s="8" t="n">
        <v>273</v>
      </c>
    </row>
    <row r="214" customFormat="false" ht="12.8" hidden="false" customHeight="false" outlineLevel="0" collapsed="false">
      <c r="A214" s="8" t="s">
        <v>525</v>
      </c>
      <c r="B214" s="8" t="s">
        <v>526</v>
      </c>
      <c r="C214" s="8" t="s">
        <v>480</v>
      </c>
      <c r="D214" s="8" t="s">
        <v>91</v>
      </c>
      <c r="E214" s="8" t="n">
        <v>2013</v>
      </c>
      <c r="F214" s="8" t="s">
        <v>527</v>
      </c>
      <c r="G214" s="17" t="n">
        <v>1.59</v>
      </c>
      <c r="H214" s="8" t="s">
        <v>691</v>
      </c>
      <c r="I214" s="8" t="s">
        <v>549</v>
      </c>
      <c r="J214" s="8" t="n">
        <v>274</v>
      </c>
    </row>
    <row r="215" customFormat="false" ht="12.8" hidden="false" customHeight="false" outlineLevel="0" collapsed="false">
      <c r="A215" s="8" t="s">
        <v>525</v>
      </c>
      <c r="B215" s="8" t="s">
        <v>526</v>
      </c>
      <c r="C215" s="8" t="s">
        <v>480</v>
      </c>
      <c r="D215" s="8" t="s">
        <v>115</v>
      </c>
      <c r="E215" s="8" t="n">
        <v>2012</v>
      </c>
      <c r="F215" s="8" t="s">
        <v>544</v>
      </c>
      <c r="G215" s="17" t="n">
        <v>1.6</v>
      </c>
      <c r="I215" s="8" t="s">
        <v>692</v>
      </c>
      <c r="J215" s="8" t="n">
        <v>275</v>
      </c>
    </row>
    <row r="216" customFormat="false" ht="12.8" hidden="false" customHeight="false" outlineLevel="0" collapsed="false">
      <c r="A216" s="8" t="s">
        <v>525</v>
      </c>
      <c r="B216" s="8" t="s">
        <v>526</v>
      </c>
      <c r="C216" s="8" t="s">
        <v>480</v>
      </c>
      <c r="D216" s="8" t="s">
        <v>133</v>
      </c>
      <c r="E216" s="8" t="n">
        <v>2009</v>
      </c>
      <c r="F216" s="8" t="s">
        <v>601</v>
      </c>
      <c r="G216" s="17" t="n">
        <v>1.613</v>
      </c>
      <c r="I216" s="8" t="s">
        <v>642</v>
      </c>
      <c r="J216" s="8" t="n">
        <v>276</v>
      </c>
    </row>
    <row r="217" customFormat="false" ht="12.8" hidden="false" customHeight="false" outlineLevel="0" collapsed="false">
      <c r="A217" s="8" t="s">
        <v>525</v>
      </c>
      <c r="B217" s="8" t="s">
        <v>526</v>
      </c>
      <c r="C217" s="8" t="s">
        <v>480</v>
      </c>
      <c r="D217" s="8" t="s">
        <v>102</v>
      </c>
      <c r="E217" s="8" t="n">
        <v>2013</v>
      </c>
      <c r="F217" s="8" t="s">
        <v>527</v>
      </c>
      <c r="G217" s="17" t="n">
        <v>1.62</v>
      </c>
      <c r="I217" s="8" t="s">
        <v>534</v>
      </c>
      <c r="J217" s="8" t="n">
        <v>277</v>
      </c>
    </row>
    <row r="218" customFormat="false" ht="12.8" hidden="false" customHeight="false" outlineLevel="0" collapsed="false">
      <c r="A218" s="8" t="s">
        <v>525</v>
      </c>
      <c r="B218" s="8" t="s">
        <v>526</v>
      </c>
      <c r="C218" s="8" t="s">
        <v>480</v>
      </c>
      <c r="D218" s="8" t="s">
        <v>111</v>
      </c>
      <c r="E218" s="8" t="n">
        <v>2011</v>
      </c>
      <c r="F218" s="8" t="s">
        <v>527</v>
      </c>
      <c r="G218" s="17" t="n">
        <v>1.62</v>
      </c>
      <c r="I218" s="8" t="s">
        <v>598</v>
      </c>
      <c r="J218" s="8" t="n">
        <v>278</v>
      </c>
    </row>
    <row r="219" customFormat="false" ht="12.8" hidden="false" customHeight="false" outlineLevel="0" collapsed="false">
      <c r="A219" s="8" t="s">
        <v>525</v>
      </c>
      <c r="B219" s="8" t="s">
        <v>526</v>
      </c>
      <c r="C219" s="8" t="s">
        <v>480</v>
      </c>
      <c r="D219" s="8" t="s">
        <v>117</v>
      </c>
      <c r="E219" s="8" t="n">
        <v>2011</v>
      </c>
      <c r="F219" s="8" t="s">
        <v>527</v>
      </c>
      <c r="G219" s="17" t="n">
        <v>1.63</v>
      </c>
      <c r="H219" s="8" t="s">
        <v>597</v>
      </c>
      <c r="I219" s="8" t="s">
        <v>598</v>
      </c>
      <c r="J219" s="8" t="n">
        <v>279</v>
      </c>
    </row>
    <row r="220" customFormat="false" ht="12.8" hidden="false" customHeight="false" outlineLevel="0" collapsed="false">
      <c r="A220" s="8" t="s">
        <v>525</v>
      </c>
      <c r="B220" s="8" t="s">
        <v>526</v>
      </c>
      <c r="C220" s="8" t="s">
        <v>480</v>
      </c>
      <c r="D220" s="8" t="s">
        <v>91</v>
      </c>
      <c r="E220" s="8" t="n">
        <v>2013</v>
      </c>
      <c r="F220" s="8" t="s">
        <v>527</v>
      </c>
      <c r="G220" s="17" t="n">
        <v>1.63</v>
      </c>
      <c r="H220" s="8" t="s">
        <v>693</v>
      </c>
      <c r="I220" s="8" t="s">
        <v>549</v>
      </c>
      <c r="J220" s="8" t="n">
        <v>280</v>
      </c>
    </row>
    <row r="221" customFormat="false" ht="12.8" hidden="false" customHeight="false" outlineLevel="0" collapsed="false">
      <c r="A221" s="8" t="s">
        <v>525</v>
      </c>
      <c r="B221" s="8" t="s">
        <v>526</v>
      </c>
      <c r="C221" s="8" t="s">
        <v>480</v>
      </c>
      <c r="D221" s="8" t="s">
        <v>118</v>
      </c>
      <c r="E221" s="8" t="n">
        <v>2011</v>
      </c>
      <c r="F221" s="8" t="s">
        <v>527</v>
      </c>
      <c r="G221" s="17" t="n">
        <v>1.64</v>
      </c>
      <c r="H221" s="8" t="s">
        <v>597</v>
      </c>
      <c r="I221" s="8" t="s">
        <v>598</v>
      </c>
      <c r="J221" s="8" t="n">
        <v>281</v>
      </c>
    </row>
    <row r="222" customFormat="false" ht="12.8" hidden="false" customHeight="false" outlineLevel="0" collapsed="false">
      <c r="A222" s="8" t="s">
        <v>525</v>
      </c>
      <c r="B222" s="8" t="s">
        <v>526</v>
      </c>
      <c r="C222" s="8" t="s">
        <v>480</v>
      </c>
      <c r="D222" s="8" t="s">
        <v>124</v>
      </c>
      <c r="E222" s="8" t="n">
        <v>2012</v>
      </c>
      <c r="F222" s="8" t="s">
        <v>544</v>
      </c>
      <c r="G222" s="17" t="n">
        <v>1.64</v>
      </c>
      <c r="I222" s="8" t="s">
        <v>694</v>
      </c>
      <c r="J222" s="8" t="n">
        <v>282</v>
      </c>
    </row>
    <row r="223" customFormat="false" ht="12.8" hidden="false" customHeight="false" outlineLevel="0" collapsed="false">
      <c r="A223" s="8" t="s">
        <v>525</v>
      </c>
      <c r="B223" s="8" t="s">
        <v>526</v>
      </c>
      <c r="C223" s="8" t="s">
        <v>480</v>
      </c>
      <c r="D223" s="8" t="s">
        <v>695</v>
      </c>
      <c r="E223" s="8" t="n">
        <v>2011</v>
      </c>
      <c r="F223" s="8" t="s">
        <v>527</v>
      </c>
      <c r="G223" s="17" t="n">
        <v>1.66</v>
      </c>
      <c r="I223" s="8" t="s">
        <v>557</v>
      </c>
      <c r="J223" s="8" t="n">
        <v>283</v>
      </c>
    </row>
    <row r="224" customFormat="false" ht="12.8" hidden="false" customHeight="false" outlineLevel="0" collapsed="false">
      <c r="A224" s="8" t="s">
        <v>525</v>
      </c>
      <c r="B224" s="8" t="s">
        <v>526</v>
      </c>
      <c r="C224" s="8" t="s">
        <v>480</v>
      </c>
      <c r="D224" s="8" t="s">
        <v>101</v>
      </c>
      <c r="E224" s="8" t="n">
        <v>2013</v>
      </c>
      <c r="F224" s="8" t="s">
        <v>527</v>
      </c>
      <c r="G224" s="17" t="n">
        <v>1.69</v>
      </c>
      <c r="I224" s="8" t="s">
        <v>534</v>
      </c>
      <c r="J224" s="8" t="n">
        <v>284</v>
      </c>
    </row>
    <row r="225" customFormat="false" ht="12.8" hidden="false" customHeight="false" outlineLevel="0" collapsed="false">
      <c r="A225" s="8" t="s">
        <v>525</v>
      </c>
      <c r="B225" s="8" t="s">
        <v>526</v>
      </c>
      <c r="C225" s="8" t="s">
        <v>480</v>
      </c>
      <c r="D225" s="8" t="s">
        <v>664</v>
      </c>
      <c r="E225" s="8" t="n">
        <v>2010</v>
      </c>
      <c r="F225" s="8" t="s">
        <v>544</v>
      </c>
      <c r="G225" s="17" t="n">
        <v>1.69</v>
      </c>
      <c r="I225" s="8" t="s">
        <v>669</v>
      </c>
      <c r="J225" s="8" t="n">
        <v>285</v>
      </c>
    </row>
    <row r="226" customFormat="false" ht="12.8" hidden="false" customHeight="false" outlineLevel="0" collapsed="false">
      <c r="A226" s="8" t="s">
        <v>525</v>
      </c>
      <c r="B226" s="8" t="s">
        <v>526</v>
      </c>
      <c r="C226" s="8" t="s">
        <v>480</v>
      </c>
      <c r="D226" s="8" t="s">
        <v>91</v>
      </c>
      <c r="E226" s="8" t="n">
        <v>2013</v>
      </c>
      <c r="F226" s="8" t="s">
        <v>527</v>
      </c>
      <c r="G226" s="17" t="n">
        <v>1.69</v>
      </c>
      <c r="H226" s="8" t="s">
        <v>696</v>
      </c>
      <c r="I226" s="8" t="s">
        <v>549</v>
      </c>
      <c r="J226" s="8" t="n">
        <v>286</v>
      </c>
    </row>
    <row r="227" customFormat="false" ht="12.8" hidden="false" customHeight="false" outlineLevel="0" collapsed="false">
      <c r="A227" s="8" t="s">
        <v>525</v>
      </c>
      <c r="B227" s="8" t="s">
        <v>526</v>
      </c>
      <c r="C227" s="8" t="s">
        <v>480</v>
      </c>
      <c r="D227" s="8" t="s">
        <v>477</v>
      </c>
      <c r="E227" s="8" t="n">
        <v>2014</v>
      </c>
      <c r="F227" s="8" t="s">
        <v>527</v>
      </c>
      <c r="G227" s="17" t="n">
        <v>1.69488</v>
      </c>
      <c r="I227" s="8" t="s">
        <v>536</v>
      </c>
      <c r="J227" s="8" t="n">
        <v>287</v>
      </c>
    </row>
    <row r="228" customFormat="false" ht="12.8" hidden="false" customHeight="false" outlineLevel="0" collapsed="false">
      <c r="A228" s="8" t="s">
        <v>525</v>
      </c>
      <c r="B228" s="8" t="s">
        <v>526</v>
      </c>
      <c r="C228" s="8" t="s">
        <v>480</v>
      </c>
      <c r="D228" s="8" t="s">
        <v>103</v>
      </c>
      <c r="E228" s="8" t="n">
        <v>2008</v>
      </c>
      <c r="F228" s="8" t="s">
        <v>527</v>
      </c>
      <c r="G228" s="17" t="n">
        <v>1.7</v>
      </c>
      <c r="H228" s="8" t="s">
        <v>697</v>
      </c>
      <c r="I228" s="8" t="s">
        <v>564</v>
      </c>
      <c r="J228" s="8" t="n">
        <v>288</v>
      </c>
    </row>
    <row r="229" customFormat="false" ht="12.8" hidden="false" customHeight="false" outlineLevel="0" collapsed="false">
      <c r="A229" s="8" t="s">
        <v>525</v>
      </c>
      <c r="B229" s="8" t="s">
        <v>526</v>
      </c>
      <c r="C229" s="8" t="s">
        <v>480</v>
      </c>
      <c r="D229" s="8" t="s">
        <v>128</v>
      </c>
      <c r="E229" s="8" t="n">
        <v>2011</v>
      </c>
      <c r="F229" s="8" t="s">
        <v>527</v>
      </c>
      <c r="G229" s="17" t="n">
        <v>1.72</v>
      </c>
      <c r="H229" s="8" t="s">
        <v>597</v>
      </c>
      <c r="I229" s="8" t="s">
        <v>598</v>
      </c>
      <c r="J229" s="8" t="n">
        <v>289</v>
      </c>
    </row>
    <row r="230" customFormat="false" ht="12.8" hidden="false" customHeight="false" outlineLevel="0" collapsed="false">
      <c r="A230" s="8" t="s">
        <v>525</v>
      </c>
      <c r="B230" s="8" t="s">
        <v>526</v>
      </c>
      <c r="C230" s="8" t="s">
        <v>480</v>
      </c>
      <c r="D230" s="8" t="s">
        <v>91</v>
      </c>
      <c r="E230" s="8" t="n">
        <v>2013</v>
      </c>
      <c r="F230" s="8" t="s">
        <v>527</v>
      </c>
      <c r="G230" s="17" t="n">
        <v>1.72</v>
      </c>
      <c r="H230" s="8" t="s">
        <v>698</v>
      </c>
      <c r="I230" s="8" t="s">
        <v>549</v>
      </c>
      <c r="J230" s="8" t="n">
        <v>290</v>
      </c>
    </row>
    <row r="231" customFormat="false" ht="12.8" hidden="false" customHeight="false" outlineLevel="0" collapsed="false">
      <c r="A231" s="8" t="s">
        <v>525</v>
      </c>
      <c r="B231" s="8" t="s">
        <v>526</v>
      </c>
      <c r="C231" s="8" t="s">
        <v>480</v>
      </c>
      <c r="D231" s="8" t="s">
        <v>699</v>
      </c>
      <c r="E231" s="8" t="n">
        <v>2011</v>
      </c>
      <c r="F231" s="8" t="s">
        <v>527</v>
      </c>
      <c r="G231" s="17" t="n">
        <v>1.74</v>
      </c>
      <c r="I231" s="8" t="s">
        <v>557</v>
      </c>
      <c r="J231" s="8" t="n">
        <v>291</v>
      </c>
    </row>
    <row r="232" customFormat="false" ht="12.8" hidden="false" customHeight="false" outlineLevel="0" collapsed="false">
      <c r="A232" s="8" t="s">
        <v>525</v>
      </c>
      <c r="B232" s="8" t="s">
        <v>526</v>
      </c>
      <c r="C232" s="8" t="s">
        <v>480</v>
      </c>
      <c r="D232" s="8" t="s">
        <v>120</v>
      </c>
      <c r="E232" s="8" t="n">
        <v>2011</v>
      </c>
      <c r="F232" s="8" t="s">
        <v>527</v>
      </c>
      <c r="G232" s="17" t="n">
        <v>1.74</v>
      </c>
      <c r="H232" s="8" t="s">
        <v>597</v>
      </c>
      <c r="I232" s="8" t="s">
        <v>598</v>
      </c>
      <c r="J232" s="8" t="n">
        <v>292</v>
      </c>
    </row>
    <row r="233" customFormat="false" ht="12.8" hidden="false" customHeight="false" outlineLevel="0" collapsed="false">
      <c r="A233" s="8" t="s">
        <v>525</v>
      </c>
      <c r="B233" s="8" t="s">
        <v>526</v>
      </c>
      <c r="C233" s="8" t="s">
        <v>480</v>
      </c>
      <c r="D233" s="8" t="s">
        <v>124</v>
      </c>
      <c r="E233" s="8" t="n">
        <v>2012</v>
      </c>
      <c r="F233" s="8" t="s">
        <v>544</v>
      </c>
      <c r="G233" s="17" t="n">
        <v>1.74</v>
      </c>
      <c r="I233" s="8" t="s">
        <v>694</v>
      </c>
      <c r="J233" s="8" t="n">
        <v>293</v>
      </c>
    </row>
    <row r="234" customFormat="false" ht="12.8" hidden="false" customHeight="false" outlineLevel="0" collapsed="false">
      <c r="A234" s="8" t="s">
        <v>525</v>
      </c>
      <c r="B234" s="8" t="s">
        <v>526</v>
      </c>
      <c r="C234" s="8" t="s">
        <v>480</v>
      </c>
      <c r="D234" s="8" t="s">
        <v>103</v>
      </c>
      <c r="E234" s="8" t="n">
        <v>2008</v>
      </c>
      <c r="F234" s="8" t="s">
        <v>527</v>
      </c>
      <c r="G234" s="17" t="n">
        <v>1.75</v>
      </c>
      <c r="H234" s="8" t="s">
        <v>700</v>
      </c>
      <c r="I234" s="8" t="s">
        <v>564</v>
      </c>
      <c r="J234" s="8" t="n">
        <v>294</v>
      </c>
    </row>
    <row r="235" customFormat="false" ht="12.8" hidden="false" customHeight="false" outlineLevel="0" collapsed="false">
      <c r="A235" s="8" t="s">
        <v>525</v>
      </c>
      <c r="B235" s="8" t="s">
        <v>526</v>
      </c>
      <c r="C235" s="8" t="s">
        <v>480</v>
      </c>
      <c r="D235" s="8" t="s">
        <v>91</v>
      </c>
      <c r="E235" s="8" t="n">
        <v>2013</v>
      </c>
      <c r="F235" s="8" t="s">
        <v>527</v>
      </c>
      <c r="G235" s="17" t="n">
        <v>1.76</v>
      </c>
      <c r="H235" s="8" t="s">
        <v>701</v>
      </c>
      <c r="I235" s="8" t="s">
        <v>549</v>
      </c>
      <c r="J235" s="8" t="n">
        <v>295</v>
      </c>
    </row>
    <row r="236" customFormat="false" ht="12.8" hidden="false" customHeight="false" outlineLevel="0" collapsed="false">
      <c r="A236" s="8" t="s">
        <v>525</v>
      </c>
      <c r="B236" s="8" t="s">
        <v>526</v>
      </c>
      <c r="C236" s="8" t="s">
        <v>480</v>
      </c>
      <c r="D236" s="8" t="s">
        <v>119</v>
      </c>
      <c r="E236" s="8" t="n">
        <v>2011</v>
      </c>
      <c r="F236" s="8" t="s">
        <v>527</v>
      </c>
      <c r="G236" s="17" t="n">
        <v>1.77</v>
      </c>
      <c r="H236" s="8" t="s">
        <v>597</v>
      </c>
      <c r="I236" s="8" t="s">
        <v>598</v>
      </c>
      <c r="J236" s="8" t="n">
        <v>296</v>
      </c>
    </row>
    <row r="237" customFormat="false" ht="12.8" hidden="false" customHeight="false" outlineLevel="0" collapsed="false">
      <c r="A237" s="8" t="s">
        <v>525</v>
      </c>
      <c r="B237" s="8" t="s">
        <v>526</v>
      </c>
      <c r="C237" s="8" t="s">
        <v>480</v>
      </c>
      <c r="D237" s="8" t="s">
        <v>477</v>
      </c>
      <c r="E237" s="8" t="n">
        <v>2010</v>
      </c>
      <c r="F237" s="8" t="s">
        <v>544</v>
      </c>
      <c r="G237" s="17" t="n">
        <v>1.77</v>
      </c>
      <c r="I237" s="8" t="s">
        <v>702</v>
      </c>
      <c r="J237" s="8" t="n">
        <v>297</v>
      </c>
    </row>
    <row r="238" customFormat="false" ht="12.8" hidden="false" customHeight="false" outlineLevel="0" collapsed="false">
      <c r="A238" s="8" t="s">
        <v>525</v>
      </c>
      <c r="B238" s="8" t="s">
        <v>526</v>
      </c>
      <c r="C238" s="8" t="s">
        <v>480</v>
      </c>
      <c r="D238" s="8" t="s">
        <v>103</v>
      </c>
      <c r="E238" s="8" t="n">
        <v>2008</v>
      </c>
      <c r="F238" s="8" t="s">
        <v>527</v>
      </c>
      <c r="G238" s="17" t="n">
        <v>1.77</v>
      </c>
      <c r="I238" s="8" t="s">
        <v>703</v>
      </c>
      <c r="J238" s="8" t="n">
        <v>298</v>
      </c>
    </row>
    <row r="239" customFormat="false" ht="12.8" hidden="false" customHeight="false" outlineLevel="0" collapsed="false">
      <c r="A239" s="8" t="s">
        <v>525</v>
      </c>
      <c r="B239" s="8" t="s">
        <v>526</v>
      </c>
      <c r="C239" s="8" t="s">
        <v>480</v>
      </c>
      <c r="D239" s="8" t="s">
        <v>103</v>
      </c>
      <c r="E239" s="8" t="n">
        <v>2008</v>
      </c>
      <c r="F239" s="8" t="s">
        <v>527</v>
      </c>
      <c r="G239" s="17" t="n">
        <v>1.77</v>
      </c>
      <c r="I239" s="8" t="s">
        <v>703</v>
      </c>
      <c r="J239" s="8" t="n">
        <v>299</v>
      </c>
    </row>
    <row r="240" customFormat="false" ht="12.8" hidden="false" customHeight="false" outlineLevel="0" collapsed="false">
      <c r="A240" s="8" t="s">
        <v>525</v>
      </c>
      <c r="B240" s="8" t="s">
        <v>526</v>
      </c>
      <c r="C240" s="8" t="s">
        <v>480</v>
      </c>
      <c r="D240" s="8" t="s">
        <v>125</v>
      </c>
      <c r="E240" s="8" t="n">
        <v>2011</v>
      </c>
      <c r="F240" s="8" t="s">
        <v>527</v>
      </c>
      <c r="G240" s="17" t="n">
        <v>1.78</v>
      </c>
      <c r="H240" s="8" t="s">
        <v>597</v>
      </c>
      <c r="I240" s="8" t="s">
        <v>598</v>
      </c>
      <c r="J240" s="8" t="n">
        <v>300</v>
      </c>
    </row>
    <row r="241" customFormat="false" ht="12.8" hidden="false" customHeight="false" outlineLevel="0" collapsed="false">
      <c r="A241" s="8" t="s">
        <v>525</v>
      </c>
      <c r="B241" s="8" t="s">
        <v>526</v>
      </c>
      <c r="C241" s="8" t="s">
        <v>480</v>
      </c>
      <c r="D241" s="8" t="s">
        <v>101</v>
      </c>
      <c r="E241" s="8" t="n">
        <v>2013</v>
      </c>
      <c r="F241" s="8" t="s">
        <v>527</v>
      </c>
      <c r="G241" s="17" t="n">
        <v>1.79</v>
      </c>
      <c r="I241" s="8" t="s">
        <v>534</v>
      </c>
      <c r="J241" s="8" t="n">
        <v>301</v>
      </c>
    </row>
    <row r="242" customFormat="false" ht="12.8" hidden="false" customHeight="false" outlineLevel="0" collapsed="false">
      <c r="A242" s="8" t="s">
        <v>525</v>
      </c>
      <c r="B242" s="8" t="s">
        <v>526</v>
      </c>
      <c r="C242" s="8" t="s">
        <v>480</v>
      </c>
      <c r="D242" s="8" t="s">
        <v>103</v>
      </c>
      <c r="E242" s="8" t="n">
        <v>2005</v>
      </c>
      <c r="F242" s="8" t="s">
        <v>527</v>
      </c>
      <c r="G242" s="17" t="n">
        <v>1.81</v>
      </c>
      <c r="H242" s="8" t="s">
        <v>704</v>
      </c>
      <c r="I242" s="8" t="s">
        <v>705</v>
      </c>
      <c r="J242" s="8" t="n">
        <v>302</v>
      </c>
    </row>
    <row r="243" customFormat="false" ht="12.8" hidden="false" customHeight="false" outlineLevel="0" collapsed="false">
      <c r="A243" s="8" t="s">
        <v>525</v>
      </c>
      <c r="B243" s="8" t="s">
        <v>526</v>
      </c>
      <c r="C243" s="8" t="s">
        <v>480</v>
      </c>
      <c r="D243" s="8" t="s">
        <v>706</v>
      </c>
      <c r="E243" s="8" t="n">
        <v>2011</v>
      </c>
      <c r="F243" s="8" t="s">
        <v>527</v>
      </c>
      <c r="G243" s="17" t="n">
        <v>1.88666666666667</v>
      </c>
      <c r="I243" s="8" t="s">
        <v>557</v>
      </c>
      <c r="J243" s="8" t="n">
        <v>303</v>
      </c>
    </row>
    <row r="244" customFormat="false" ht="12.8" hidden="false" customHeight="false" outlineLevel="0" collapsed="false">
      <c r="A244" s="8" t="s">
        <v>525</v>
      </c>
      <c r="B244" s="8" t="s">
        <v>526</v>
      </c>
      <c r="C244" s="8" t="s">
        <v>480</v>
      </c>
      <c r="D244" s="8" t="s">
        <v>680</v>
      </c>
      <c r="E244" s="8" t="n">
        <v>2011</v>
      </c>
      <c r="F244" s="8" t="s">
        <v>527</v>
      </c>
      <c r="G244" s="17" t="n">
        <v>1.94</v>
      </c>
      <c r="I244" s="8" t="s">
        <v>557</v>
      </c>
      <c r="J244" s="8" t="n">
        <v>304</v>
      </c>
    </row>
    <row r="245" customFormat="false" ht="12.8" hidden="false" customHeight="false" outlineLevel="0" collapsed="false">
      <c r="A245" s="8" t="s">
        <v>525</v>
      </c>
      <c r="B245" s="8" t="s">
        <v>526</v>
      </c>
      <c r="C245" s="8" t="s">
        <v>480</v>
      </c>
      <c r="D245" s="8" t="s">
        <v>112</v>
      </c>
      <c r="E245" s="8" t="n">
        <v>2011</v>
      </c>
      <c r="F245" s="8" t="s">
        <v>527</v>
      </c>
      <c r="G245" s="17" t="n">
        <v>1.94</v>
      </c>
      <c r="H245" s="8" t="s">
        <v>597</v>
      </c>
      <c r="I245" s="8" t="s">
        <v>598</v>
      </c>
      <c r="J245" s="8" t="n">
        <v>305</v>
      </c>
    </row>
    <row r="246" customFormat="false" ht="12.8" hidden="false" customHeight="false" outlineLevel="0" collapsed="false">
      <c r="A246" s="8" t="s">
        <v>525</v>
      </c>
      <c r="B246" s="8" t="s">
        <v>526</v>
      </c>
      <c r="C246" s="8" t="s">
        <v>480</v>
      </c>
      <c r="D246" s="8" t="s">
        <v>477</v>
      </c>
      <c r="E246" s="8" t="n">
        <v>2008</v>
      </c>
      <c r="F246" s="8" t="s">
        <v>527</v>
      </c>
      <c r="G246" s="17" t="n">
        <v>1.95</v>
      </c>
      <c r="H246" s="8" t="s">
        <v>707</v>
      </c>
      <c r="I246" s="8" t="s">
        <v>708</v>
      </c>
      <c r="J246" s="8" t="n">
        <v>306</v>
      </c>
    </row>
    <row r="247" customFormat="false" ht="12.8" hidden="false" customHeight="false" outlineLevel="0" collapsed="false">
      <c r="A247" s="8" t="s">
        <v>525</v>
      </c>
      <c r="B247" s="8" t="s">
        <v>526</v>
      </c>
      <c r="C247" s="8" t="s">
        <v>480</v>
      </c>
      <c r="D247" s="8" t="s">
        <v>709</v>
      </c>
      <c r="E247" s="8" t="n">
        <v>2011</v>
      </c>
      <c r="F247" s="8" t="s">
        <v>527</v>
      </c>
      <c r="G247" s="17" t="n">
        <v>1.98</v>
      </c>
      <c r="I247" s="8" t="s">
        <v>557</v>
      </c>
      <c r="J247" s="8" t="n">
        <v>307</v>
      </c>
    </row>
    <row r="248" customFormat="false" ht="12.8" hidden="false" customHeight="false" outlineLevel="0" collapsed="false">
      <c r="A248" s="8" t="s">
        <v>525</v>
      </c>
      <c r="B248" s="8" t="s">
        <v>526</v>
      </c>
      <c r="C248" s="8" t="s">
        <v>480</v>
      </c>
      <c r="D248" s="8" t="s">
        <v>477</v>
      </c>
      <c r="E248" s="8" t="n">
        <v>2008</v>
      </c>
      <c r="F248" s="8" t="s">
        <v>527</v>
      </c>
      <c r="G248" s="17" t="n">
        <v>1.99</v>
      </c>
      <c r="H248" s="8" t="s">
        <v>710</v>
      </c>
      <c r="I248" s="8" t="s">
        <v>708</v>
      </c>
      <c r="J248" s="8" t="n">
        <v>308</v>
      </c>
    </row>
    <row r="249" customFormat="false" ht="12.8" hidden="false" customHeight="false" outlineLevel="0" collapsed="false">
      <c r="A249" s="8" t="s">
        <v>525</v>
      </c>
      <c r="B249" s="8" t="s">
        <v>526</v>
      </c>
      <c r="C249" s="8" t="s">
        <v>480</v>
      </c>
      <c r="D249" s="8" t="s">
        <v>711</v>
      </c>
      <c r="E249" s="8" t="n">
        <v>2010</v>
      </c>
      <c r="F249" s="8" t="s">
        <v>544</v>
      </c>
      <c r="G249" s="17" t="n">
        <v>2</v>
      </c>
      <c r="I249" s="8" t="s">
        <v>619</v>
      </c>
      <c r="J249" s="8" t="n">
        <v>309</v>
      </c>
    </row>
    <row r="250" customFormat="false" ht="12.8" hidden="false" customHeight="false" outlineLevel="0" collapsed="false">
      <c r="A250" s="8" t="s">
        <v>525</v>
      </c>
      <c r="B250" s="8" t="s">
        <v>526</v>
      </c>
      <c r="C250" s="8" t="s">
        <v>480</v>
      </c>
      <c r="D250" s="8" t="s">
        <v>658</v>
      </c>
      <c r="E250" s="8" t="n">
        <v>2011</v>
      </c>
      <c r="F250" s="8" t="s">
        <v>527</v>
      </c>
      <c r="G250" s="17" t="n">
        <v>2.02</v>
      </c>
      <c r="I250" s="8" t="s">
        <v>557</v>
      </c>
      <c r="J250" s="8" t="n">
        <v>310</v>
      </c>
    </row>
    <row r="251" customFormat="false" ht="12.8" hidden="false" customHeight="false" outlineLevel="0" collapsed="false">
      <c r="A251" s="8" t="s">
        <v>525</v>
      </c>
      <c r="B251" s="8" t="s">
        <v>526</v>
      </c>
      <c r="C251" s="8" t="s">
        <v>480</v>
      </c>
      <c r="D251" s="8" t="s">
        <v>477</v>
      </c>
      <c r="E251" s="8" t="n">
        <v>2008</v>
      </c>
      <c r="F251" s="8" t="s">
        <v>527</v>
      </c>
      <c r="G251" s="17" t="n">
        <v>2.03</v>
      </c>
      <c r="H251" s="8" t="s">
        <v>712</v>
      </c>
      <c r="I251" s="8" t="s">
        <v>708</v>
      </c>
      <c r="J251" s="8" t="n">
        <v>311</v>
      </c>
    </row>
    <row r="252" customFormat="false" ht="12.8" hidden="false" customHeight="false" outlineLevel="0" collapsed="false">
      <c r="A252" s="8" t="s">
        <v>525</v>
      </c>
      <c r="B252" s="8" t="s">
        <v>526</v>
      </c>
      <c r="C252" s="8" t="s">
        <v>480</v>
      </c>
      <c r="D252" s="8" t="s">
        <v>102</v>
      </c>
      <c r="E252" s="8" t="n">
        <v>2013</v>
      </c>
      <c r="F252" s="8" t="s">
        <v>527</v>
      </c>
      <c r="G252" s="17" t="n">
        <v>2.05</v>
      </c>
      <c r="I252" s="8" t="s">
        <v>534</v>
      </c>
      <c r="J252" s="8" t="n">
        <v>312</v>
      </c>
    </row>
    <row r="253" customFormat="false" ht="12.8" hidden="false" customHeight="false" outlineLevel="0" collapsed="false">
      <c r="A253" s="8" t="s">
        <v>525</v>
      </c>
      <c r="B253" s="8" t="s">
        <v>526</v>
      </c>
      <c r="C253" s="8" t="s">
        <v>480</v>
      </c>
      <c r="D253" s="8" t="s">
        <v>106</v>
      </c>
      <c r="E253" s="8" t="n">
        <v>2011</v>
      </c>
      <c r="F253" s="8" t="s">
        <v>527</v>
      </c>
      <c r="G253" s="17" t="n">
        <v>2.06</v>
      </c>
      <c r="I253" s="8" t="s">
        <v>557</v>
      </c>
      <c r="J253" s="8" t="n">
        <v>313</v>
      </c>
    </row>
    <row r="254" customFormat="false" ht="12.8" hidden="false" customHeight="false" outlineLevel="0" collapsed="false">
      <c r="A254" s="8" t="s">
        <v>525</v>
      </c>
      <c r="B254" s="8" t="s">
        <v>526</v>
      </c>
      <c r="C254" s="8" t="s">
        <v>480</v>
      </c>
      <c r="D254" s="8" t="s">
        <v>477</v>
      </c>
      <c r="E254" s="8" t="n">
        <v>2008</v>
      </c>
      <c r="F254" s="8" t="s">
        <v>527</v>
      </c>
      <c r="G254" s="17" t="n">
        <v>2.06</v>
      </c>
      <c r="H254" s="8" t="s">
        <v>713</v>
      </c>
      <c r="I254" s="8" t="s">
        <v>708</v>
      </c>
      <c r="J254" s="8" t="n">
        <v>314</v>
      </c>
    </row>
    <row r="255" customFormat="false" ht="12.8" hidden="false" customHeight="false" outlineLevel="0" collapsed="false">
      <c r="A255" s="8" t="s">
        <v>525</v>
      </c>
      <c r="B255" s="8" t="s">
        <v>526</v>
      </c>
      <c r="C255" s="8" t="s">
        <v>480</v>
      </c>
      <c r="D255" s="8" t="s">
        <v>684</v>
      </c>
      <c r="E255" s="8" t="n">
        <v>2011</v>
      </c>
      <c r="F255" s="8" t="s">
        <v>527</v>
      </c>
      <c r="G255" s="17" t="n">
        <v>2.3</v>
      </c>
      <c r="I255" s="8" t="s">
        <v>557</v>
      </c>
      <c r="J255" s="8" t="n">
        <v>315</v>
      </c>
    </row>
    <row r="256" customFormat="false" ht="12.8" hidden="false" customHeight="false" outlineLevel="0" collapsed="false">
      <c r="A256" s="8" t="s">
        <v>525</v>
      </c>
      <c r="B256" s="8" t="s">
        <v>526</v>
      </c>
      <c r="C256" s="8" t="s">
        <v>480</v>
      </c>
      <c r="D256" s="8" t="s">
        <v>109</v>
      </c>
      <c r="E256" s="8" t="n">
        <v>2011</v>
      </c>
      <c r="F256" s="8" t="s">
        <v>527</v>
      </c>
      <c r="G256" s="17" t="n">
        <v>2.39</v>
      </c>
      <c r="I256" s="8" t="s">
        <v>598</v>
      </c>
      <c r="J256" s="8" t="n">
        <v>316</v>
      </c>
    </row>
    <row r="257" customFormat="false" ht="12.8" hidden="false" customHeight="false" outlineLevel="0" collapsed="false">
      <c r="A257" s="8" t="s">
        <v>525</v>
      </c>
      <c r="B257" s="8" t="s">
        <v>526</v>
      </c>
      <c r="C257" s="8" t="s">
        <v>480</v>
      </c>
      <c r="D257" s="8" t="s">
        <v>133</v>
      </c>
      <c r="E257" s="8" t="n">
        <v>2014</v>
      </c>
      <c r="F257" s="8" t="s">
        <v>527</v>
      </c>
      <c r="G257" s="17" t="n">
        <v>2.4102</v>
      </c>
      <c r="I257" s="8" t="s">
        <v>536</v>
      </c>
      <c r="J257" s="8" t="n">
        <v>317</v>
      </c>
    </row>
    <row r="258" customFormat="false" ht="12.8" hidden="false" customHeight="false" outlineLevel="0" collapsed="false">
      <c r="A258" s="8" t="s">
        <v>525</v>
      </c>
      <c r="B258" s="8" t="s">
        <v>526</v>
      </c>
      <c r="C258" s="8" t="s">
        <v>480</v>
      </c>
      <c r="D258" s="8" t="s">
        <v>714</v>
      </c>
      <c r="E258" s="8" t="n">
        <v>2011</v>
      </c>
      <c r="F258" s="8" t="s">
        <v>527</v>
      </c>
      <c r="G258" s="17" t="n">
        <v>2.5</v>
      </c>
      <c r="I258" s="8" t="s">
        <v>557</v>
      </c>
      <c r="J258" s="8" t="n">
        <v>318</v>
      </c>
    </row>
    <row r="259" customFormat="false" ht="12.8" hidden="false" customHeight="false" outlineLevel="0" collapsed="false">
      <c r="A259" s="8" t="s">
        <v>525</v>
      </c>
      <c r="B259" s="8" t="s">
        <v>526</v>
      </c>
      <c r="C259" s="8" t="s">
        <v>480</v>
      </c>
      <c r="D259" s="8" t="s">
        <v>715</v>
      </c>
      <c r="E259" s="8" t="n">
        <v>2011</v>
      </c>
      <c r="F259" s="8" t="s">
        <v>527</v>
      </c>
      <c r="G259" s="17" t="n">
        <v>2.58</v>
      </c>
      <c r="I259" s="8" t="s">
        <v>557</v>
      </c>
      <c r="J259" s="8" t="n">
        <v>319</v>
      </c>
    </row>
    <row r="260" customFormat="false" ht="12.8" hidden="false" customHeight="false" outlineLevel="0" collapsed="false">
      <c r="A260" s="8" t="s">
        <v>525</v>
      </c>
      <c r="B260" s="8" t="s">
        <v>526</v>
      </c>
      <c r="C260" s="8" t="s">
        <v>480</v>
      </c>
      <c r="D260" s="8" t="s">
        <v>105</v>
      </c>
      <c r="E260" s="8" t="n">
        <v>2011</v>
      </c>
      <c r="F260" s="8" t="s">
        <v>527</v>
      </c>
      <c r="G260" s="17" t="n">
        <v>3.26</v>
      </c>
      <c r="I260" s="8" t="s">
        <v>557</v>
      </c>
      <c r="J260" s="8" t="n">
        <v>320</v>
      </c>
    </row>
    <row r="261" customFormat="false" ht="12.8" hidden="false" customHeight="false" outlineLevel="0" collapsed="false">
      <c r="A261" s="8" t="s">
        <v>525</v>
      </c>
      <c r="B261" s="8" t="s">
        <v>526</v>
      </c>
      <c r="C261" s="8" t="s">
        <v>480</v>
      </c>
      <c r="D261" s="8" t="s">
        <v>716</v>
      </c>
      <c r="E261" s="8" t="n">
        <v>2010</v>
      </c>
      <c r="F261" s="8" t="s">
        <v>544</v>
      </c>
      <c r="G261" s="17" t="n">
        <v>3.3</v>
      </c>
      <c r="I261" s="8" t="s">
        <v>619</v>
      </c>
      <c r="J261" s="8" t="n">
        <v>321</v>
      </c>
    </row>
    <row r="262" customFormat="false" ht="12.8" hidden="false" customHeight="false" outlineLevel="0" collapsed="false">
      <c r="A262" s="8" t="s">
        <v>525</v>
      </c>
      <c r="B262" s="8" t="s">
        <v>526</v>
      </c>
      <c r="C262" s="8" t="s">
        <v>480</v>
      </c>
      <c r="D262" s="8" t="s">
        <v>717</v>
      </c>
      <c r="E262" s="8" t="n">
        <v>2010</v>
      </c>
      <c r="F262" s="8" t="s">
        <v>544</v>
      </c>
      <c r="G262" s="17" t="n">
        <v>3.7</v>
      </c>
      <c r="I262" s="8" t="s">
        <v>619</v>
      </c>
      <c r="J262" s="8" t="n">
        <v>322</v>
      </c>
    </row>
    <row r="263" customFormat="false" ht="12.8" hidden="false" customHeight="false" outlineLevel="0" collapsed="false">
      <c r="A263" s="8" t="s">
        <v>525</v>
      </c>
      <c r="B263" s="8" t="s">
        <v>526</v>
      </c>
      <c r="C263" s="8" t="s">
        <v>480</v>
      </c>
      <c r="D263" s="8" t="s">
        <v>718</v>
      </c>
      <c r="E263" s="8" t="n">
        <v>2010</v>
      </c>
      <c r="F263" s="8" t="s">
        <v>544</v>
      </c>
      <c r="G263" s="17" t="n">
        <v>4.6</v>
      </c>
      <c r="I263" s="8" t="s">
        <v>619</v>
      </c>
      <c r="J263" s="8" t="n">
        <v>323</v>
      </c>
    </row>
    <row r="264" customFormat="false" ht="12.8" hidden="false" customHeight="false" outlineLevel="0" collapsed="false">
      <c r="A264" s="8" t="s">
        <v>525</v>
      </c>
      <c r="B264" s="8" t="s">
        <v>526</v>
      </c>
      <c r="C264" s="8" t="s">
        <v>480</v>
      </c>
      <c r="D264" s="8" t="s">
        <v>719</v>
      </c>
      <c r="E264" s="8" t="n">
        <v>2010</v>
      </c>
      <c r="F264" s="8" t="s">
        <v>544</v>
      </c>
      <c r="G264" s="17" t="n">
        <v>7.5</v>
      </c>
      <c r="I264" s="8" t="s">
        <v>619</v>
      </c>
      <c r="J264" s="8" t="n">
        <v>324</v>
      </c>
    </row>
    <row r="265" customFormat="false" ht="12.8" hidden="false" customHeight="false" outlineLevel="0" collapsed="false">
      <c r="A265" s="8" t="s">
        <v>525</v>
      </c>
      <c r="B265" s="8" t="s">
        <v>526</v>
      </c>
      <c r="C265" s="8" t="s">
        <v>480</v>
      </c>
      <c r="D265" s="8" t="s">
        <v>680</v>
      </c>
      <c r="E265" s="8" t="n">
        <v>2011</v>
      </c>
      <c r="F265" s="8" t="s">
        <v>527</v>
      </c>
      <c r="H265" s="8" t="s">
        <v>720</v>
      </c>
      <c r="I265" s="8" t="s">
        <v>682</v>
      </c>
      <c r="J265" s="8" t="n">
        <v>325</v>
      </c>
    </row>
    <row r="266" customFormat="false" ht="12.8" hidden="false" customHeight="false" outlineLevel="0" collapsed="false">
      <c r="A266" s="8" t="s">
        <v>721</v>
      </c>
      <c r="B266" s="8" t="s">
        <v>476</v>
      </c>
      <c r="C266" s="8" t="s">
        <v>722</v>
      </c>
      <c r="D266" s="8" t="s">
        <v>153</v>
      </c>
      <c r="E266" s="8" t="n">
        <v>2011</v>
      </c>
      <c r="F266" s="8" t="s">
        <v>527</v>
      </c>
      <c r="G266" s="17" t="n">
        <v>0.18</v>
      </c>
      <c r="I266" s="8" t="s">
        <v>723</v>
      </c>
      <c r="J266" s="8" t="n">
        <v>1682</v>
      </c>
    </row>
    <row r="267" customFormat="false" ht="12.8" hidden="false" customHeight="false" outlineLevel="0" collapsed="false">
      <c r="A267" s="8" t="s">
        <v>721</v>
      </c>
      <c r="B267" s="8" t="s">
        <v>476</v>
      </c>
      <c r="C267" s="8" t="s">
        <v>722</v>
      </c>
      <c r="D267" s="8" t="s">
        <v>477</v>
      </c>
      <c r="E267" s="8" t="n">
        <v>2014</v>
      </c>
      <c r="F267" s="8" t="s">
        <v>544</v>
      </c>
      <c r="G267" s="17" t="n">
        <v>0.27</v>
      </c>
      <c r="H267" s="8" t="s">
        <v>724</v>
      </c>
      <c r="I267" s="8" t="s">
        <v>725</v>
      </c>
      <c r="J267" s="8" t="n">
        <v>1683</v>
      </c>
    </row>
    <row r="268" customFormat="false" ht="12.8" hidden="false" customHeight="false" outlineLevel="0" collapsed="false">
      <c r="A268" s="8" t="s">
        <v>721</v>
      </c>
      <c r="B268" s="8" t="s">
        <v>476</v>
      </c>
      <c r="C268" s="8" t="s">
        <v>722</v>
      </c>
      <c r="D268" s="8" t="s">
        <v>153</v>
      </c>
      <c r="E268" s="8" t="n">
        <v>2014</v>
      </c>
      <c r="F268" s="8" t="s">
        <v>527</v>
      </c>
      <c r="G268" s="17" t="n">
        <v>0.28</v>
      </c>
      <c r="H268" s="8" t="s">
        <v>726</v>
      </c>
      <c r="I268" s="8" t="s">
        <v>727</v>
      </c>
      <c r="J268" s="8" t="n">
        <v>1684</v>
      </c>
    </row>
    <row r="269" customFormat="false" ht="12.8" hidden="false" customHeight="false" outlineLevel="0" collapsed="false">
      <c r="A269" s="8" t="s">
        <v>721</v>
      </c>
      <c r="B269" s="8" t="s">
        <v>476</v>
      </c>
      <c r="C269" s="8" t="s">
        <v>722</v>
      </c>
      <c r="D269" s="8" t="s">
        <v>477</v>
      </c>
      <c r="E269" s="8" t="n">
        <v>2009</v>
      </c>
      <c r="F269" s="8" t="s">
        <v>527</v>
      </c>
      <c r="G269" s="17" t="n">
        <v>0.283582089552239</v>
      </c>
      <c r="H269" s="8" t="s">
        <v>728</v>
      </c>
      <c r="I269" s="8" t="s">
        <v>729</v>
      </c>
      <c r="J269" s="8" t="n">
        <v>1685</v>
      </c>
    </row>
    <row r="270" customFormat="false" ht="12.8" hidden="false" customHeight="false" outlineLevel="0" collapsed="false">
      <c r="A270" s="8" t="s">
        <v>721</v>
      </c>
      <c r="B270" s="8" t="s">
        <v>476</v>
      </c>
      <c r="C270" s="8" t="s">
        <v>722</v>
      </c>
      <c r="D270" s="8" t="s">
        <v>132</v>
      </c>
      <c r="E270" s="8" t="n">
        <v>2010</v>
      </c>
      <c r="F270" s="8" t="s">
        <v>538</v>
      </c>
      <c r="G270" s="17" t="n">
        <v>0.29</v>
      </c>
      <c r="I270" s="8" t="s">
        <v>730</v>
      </c>
      <c r="J270" s="8" t="n">
        <v>1686</v>
      </c>
    </row>
    <row r="271" customFormat="false" ht="12.8" hidden="false" customHeight="false" outlineLevel="0" collapsed="false">
      <c r="A271" s="8" t="s">
        <v>721</v>
      </c>
      <c r="B271" s="8" t="s">
        <v>476</v>
      </c>
      <c r="C271" s="8" t="s">
        <v>722</v>
      </c>
      <c r="D271" s="8" t="s">
        <v>153</v>
      </c>
      <c r="E271" s="8" t="n">
        <v>2008</v>
      </c>
      <c r="F271" s="8" t="s">
        <v>527</v>
      </c>
      <c r="G271" s="17" t="n">
        <v>0.304</v>
      </c>
      <c r="I271" s="8" t="s">
        <v>731</v>
      </c>
      <c r="J271" s="8" t="n">
        <v>1687</v>
      </c>
    </row>
    <row r="272" customFormat="false" ht="12.8" hidden="false" customHeight="false" outlineLevel="0" collapsed="false">
      <c r="A272" s="8" t="s">
        <v>721</v>
      </c>
      <c r="B272" s="8" t="s">
        <v>476</v>
      </c>
      <c r="C272" s="8" t="s">
        <v>722</v>
      </c>
      <c r="D272" s="8" t="s">
        <v>153</v>
      </c>
      <c r="E272" s="8" t="n">
        <v>2008</v>
      </c>
      <c r="F272" s="8" t="s">
        <v>527</v>
      </c>
      <c r="G272" s="17" t="n">
        <v>0.304</v>
      </c>
      <c r="I272" s="8" t="s">
        <v>731</v>
      </c>
      <c r="J272" s="8" t="n">
        <v>1688</v>
      </c>
    </row>
    <row r="273" customFormat="false" ht="12.8" hidden="false" customHeight="false" outlineLevel="0" collapsed="false">
      <c r="A273" s="8" t="s">
        <v>721</v>
      </c>
      <c r="B273" s="8" t="s">
        <v>476</v>
      </c>
      <c r="C273" s="8" t="s">
        <v>722</v>
      </c>
      <c r="D273" s="8" t="s">
        <v>477</v>
      </c>
      <c r="E273" s="8" t="n">
        <v>2009</v>
      </c>
      <c r="F273" s="8" t="s">
        <v>527</v>
      </c>
      <c r="G273" s="17" t="n">
        <v>0.313432835820896</v>
      </c>
      <c r="H273" s="8" t="s">
        <v>724</v>
      </c>
      <c r="I273" s="8" t="s">
        <v>729</v>
      </c>
      <c r="J273" s="8" t="n">
        <v>1689</v>
      </c>
    </row>
    <row r="274" customFormat="false" ht="12.8" hidden="false" customHeight="false" outlineLevel="0" collapsed="false">
      <c r="A274" s="8" t="s">
        <v>721</v>
      </c>
      <c r="B274" s="8" t="s">
        <v>476</v>
      </c>
      <c r="C274" s="8" t="s">
        <v>722</v>
      </c>
      <c r="D274" s="8" t="s">
        <v>153</v>
      </c>
      <c r="E274" s="8" t="n">
        <v>2014</v>
      </c>
      <c r="F274" s="8" t="s">
        <v>527</v>
      </c>
      <c r="G274" s="17" t="n">
        <v>0.32</v>
      </c>
      <c r="H274" s="8" t="s">
        <v>732</v>
      </c>
      <c r="I274" s="8" t="s">
        <v>727</v>
      </c>
      <c r="J274" s="8" t="n">
        <v>1690</v>
      </c>
    </row>
    <row r="275" customFormat="false" ht="12.8" hidden="false" customHeight="false" outlineLevel="0" collapsed="false">
      <c r="A275" s="8" t="s">
        <v>721</v>
      </c>
      <c r="B275" s="8" t="s">
        <v>476</v>
      </c>
      <c r="C275" s="8" t="s">
        <v>722</v>
      </c>
      <c r="D275" s="8" t="s">
        <v>102</v>
      </c>
      <c r="E275" s="8" t="n">
        <v>2014</v>
      </c>
      <c r="F275" s="8" t="s">
        <v>544</v>
      </c>
      <c r="G275" s="17" t="n">
        <v>0.349</v>
      </c>
      <c r="I275" s="8" t="s">
        <v>733</v>
      </c>
      <c r="J275" s="8" t="n">
        <v>1691</v>
      </c>
    </row>
    <row r="276" customFormat="false" ht="12.8" hidden="false" customHeight="false" outlineLevel="0" collapsed="false">
      <c r="A276" s="8" t="s">
        <v>721</v>
      </c>
      <c r="B276" s="8" t="s">
        <v>476</v>
      </c>
      <c r="C276" s="8" t="s">
        <v>722</v>
      </c>
      <c r="D276" s="8" t="s">
        <v>153</v>
      </c>
      <c r="E276" s="8" t="n">
        <v>2014</v>
      </c>
      <c r="F276" s="8" t="s">
        <v>527</v>
      </c>
      <c r="G276" s="17" t="n">
        <v>0.36</v>
      </c>
      <c r="H276" s="8" t="s">
        <v>734</v>
      </c>
      <c r="I276" s="8" t="s">
        <v>727</v>
      </c>
      <c r="J276" s="8" t="n">
        <v>1692</v>
      </c>
    </row>
    <row r="277" customFormat="false" ht="12.8" hidden="false" customHeight="false" outlineLevel="0" collapsed="false">
      <c r="A277" s="8" t="s">
        <v>721</v>
      </c>
      <c r="B277" s="8" t="s">
        <v>476</v>
      </c>
      <c r="C277" s="8" t="s">
        <v>722</v>
      </c>
      <c r="D277" s="8" t="s">
        <v>131</v>
      </c>
      <c r="E277" s="8" t="n">
        <v>2011</v>
      </c>
      <c r="F277" s="8" t="s">
        <v>527</v>
      </c>
      <c r="G277" s="17" t="n">
        <v>0.38</v>
      </c>
      <c r="I277" s="8" t="s">
        <v>735</v>
      </c>
      <c r="J277" s="8" t="n">
        <v>1693</v>
      </c>
    </row>
    <row r="278" customFormat="false" ht="12.8" hidden="false" customHeight="false" outlineLevel="0" collapsed="false">
      <c r="A278" s="8" t="s">
        <v>721</v>
      </c>
      <c r="B278" s="8" t="s">
        <v>476</v>
      </c>
      <c r="C278" s="8" t="s">
        <v>722</v>
      </c>
      <c r="D278" s="8" t="s">
        <v>153</v>
      </c>
      <c r="E278" s="8" t="n">
        <v>2010</v>
      </c>
      <c r="F278" s="8" t="s">
        <v>527</v>
      </c>
      <c r="G278" s="17" t="n">
        <v>0.4</v>
      </c>
      <c r="I278" s="8" t="s">
        <v>736</v>
      </c>
      <c r="J278" s="8" t="n">
        <v>1694</v>
      </c>
    </row>
    <row r="279" customFormat="false" ht="12.8" hidden="false" customHeight="false" outlineLevel="0" collapsed="false">
      <c r="A279" s="8" t="s">
        <v>721</v>
      </c>
      <c r="B279" s="8" t="s">
        <v>476</v>
      </c>
      <c r="C279" s="8" t="s">
        <v>722</v>
      </c>
      <c r="D279" s="8" t="s">
        <v>153</v>
      </c>
      <c r="E279" s="8" t="n">
        <v>2010</v>
      </c>
      <c r="F279" s="8" t="s">
        <v>527</v>
      </c>
      <c r="G279" s="17" t="n">
        <v>0.4</v>
      </c>
      <c r="I279" s="8" t="s">
        <v>736</v>
      </c>
      <c r="J279" s="8" t="n">
        <v>1695</v>
      </c>
    </row>
    <row r="280" customFormat="false" ht="12.8" hidden="false" customHeight="false" outlineLevel="0" collapsed="false">
      <c r="A280" s="8" t="s">
        <v>721</v>
      </c>
      <c r="B280" s="8" t="s">
        <v>476</v>
      </c>
      <c r="C280" s="8" t="s">
        <v>722</v>
      </c>
      <c r="D280" s="8" t="s">
        <v>131</v>
      </c>
      <c r="E280" s="8" t="n">
        <v>2010</v>
      </c>
      <c r="F280" s="8" t="s">
        <v>527</v>
      </c>
      <c r="G280" s="17" t="n">
        <v>0.4</v>
      </c>
      <c r="I280" s="8" t="s">
        <v>737</v>
      </c>
      <c r="J280" s="8" t="n">
        <v>1696</v>
      </c>
    </row>
    <row r="281" customFormat="false" ht="12.8" hidden="false" customHeight="false" outlineLevel="0" collapsed="false">
      <c r="A281" s="8" t="s">
        <v>721</v>
      </c>
      <c r="B281" s="8" t="s">
        <v>476</v>
      </c>
      <c r="C281" s="8" t="s">
        <v>722</v>
      </c>
      <c r="D281" s="8" t="s">
        <v>658</v>
      </c>
      <c r="E281" s="8" t="n">
        <v>2009</v>
      </c>
      <c r="F281" s="8" t="s">
        <v>527</v>
      </c>
      <c r="G281" s="17" t="n">
        <v>0.42</v>
      </c>
      <c r="I281" s="8" t="s">
        <v>738</v>
      </c>
      <c r="J281" s="8" t="n">
        <v>1697</v>
      </c>
    </row>
    <row r="282" customFormat="false" ht="12.8" hidden="false" customHeight="false" outlineLevel="0" collapsed="false">
      <c r="A282" s="8" t="s">
        <v>721</v>
      </c>
      <c r="B282" s="8" t="s">
        <v>476</v>
      </c>
      <c r="C282" s="8" t="s">
        <v>722</v>
      </c>
      <c r="D282" s="8" t="s">
        <v>95</v>
      </c>
      <c r="E282" s="8" t="n">
        <v>2014</v>
      </c>
      <c r="F282" s="8" t="s">
        <v>544</v>
      </c>
      <c r="G282" s="17" t="n">
        <v>0.421</v>
      </c>
      <c r="I282" s="8" t="s">
        <v>733</v>
      </c>
      <c r="J282" s="8" t="n">
        <v>1698</v>
      </c>
    </row>
    <row r="283" customFormat="false" ht="12.8" hidden="false" customHeight="false" outlineLevel="0" collapsed="false">
      <c r="A283" s="8" t="s">
        <v>721</v>
      </c>
      <c r="B283" s="8" t="s">
        <v>476</v>
      </c>
      <c r="C283" s="8" t="s">
        <v>722</v>
      </c>
      <c r="D283" s="8" t="s">
        <v>170</v>
      </c>
      <c r="E283" s="8" t="n">
        <v>2014</v>
      </c>
      <c r="F283" s="8" t="s">
        <v>544</v>
      </c>
      <c r="G283" s="17" t="n">
        <v>0.441</v>
      </c>
      <c r="I283" s="8" t="s">
        <v>733</v>
      </c>
      <c r="J283" s="8" t="n">
        <v>1699</v>
      </c>
    </row>
    <row r="284" customFormat="false" ht="12.8" hidden="false" customHeight="false" outlineLevel="0" collapsed="false">
      <c r="A284" s="8" t="s">
        <v>721</v>
      </c>
      <c r="B284" s="8" t="s">
        <v>476</v>
      </c>
      <c r="C284" s="8" t="s">
        <v>722</v>
      </c>
      <c r="D284" s="8" t="s">
        <v>91</v>
      </c>
      <c r="E284" s="8" t="n">
        <v>2012</v>
      </c>
      <c r="F284" s="8" t="s">
        <v>527</v>
      </c>
      <c r="G284" s="17" t="n">
        <v>0.45</v>
      </c>
      <c r="I284" s="8" t="s">
        <v>739</v>
      </c>
      <c r="J284" s="8" t="n">
        <v>1700</v>
      </c>
    </row>
    <row r="285" customFormat="false" ht="12.8" hidden="false" customHeight="false" outlineLevel="0" collapsed="false">
      <c r="A285" s="8" t="s">
        <v>721</v>
      </c>
      <c r="B285" s="8" t="s">
        <v>476</v>
      </c>
      <c r="C285" s="8" t="s">
        <v>722</v>
      </c>
      <c r="D285" s="8" t="s">
        <v>131</v>
      </c>
      <c r="E285" s="8" t="n">
        <v>2014</v>
      </c>
      <c r="F285" s="8" t="s">
        <v>544</v>
      </c>
      <c r="G285" s="17" t="n">
        <v>0.468</v>
      </c>
      <c r="I285" s="8" t="s">
        <v>733</v>
      </c>
      <c r="J285" s="8" t="n">
        <v>1701</v>
      </c>
    </row>
    <row r="286" customFormat="false" ht="12.8" hidden="false" customHeight="false" outlineLevel="0" collapsed="false">
      <c r="A286" s="8" t="s">
        <v>721</v>
      </c>
      <c r="B286" s="8" t="s">
        <v>476</v>
      </c>
      <c r="C286" s="8" t="s">
        <v>722</v>
      </c>
      <c r="D286" s="8" t="s">
        <v>131</v>
      </c>
      <c r="E286" s="8" t="n">
        <v>2012</v>
      </c>
      <c r="F286" s="8" t="s">
        <v>601</v>
      </c>
      <c r="G286" s="17" t="n">
        <v>0.47</v>
      </c>
      <c r="H286" s="8" t="s">
        <v>740</v>
      </c>
      <c r="I286" s="8" t="s">
        <v>741</v>
      </c>
      <c r="J286" s="8" t="n">
        <v>1702</v>
      </c>
    </row>
    <row r="287" customFormat="false" ht="12.8" hidden="false" customHeight="false" outlineLevel="0" collapsed="false">
      <c r="A287" s="8" t="s">
        <v>721</v>
      </c>
      <c r="B287" s="8" t="s">
        <v>476</v>
      </c>
      <c r="C287" s="8" t="s">
        <v>722</v>
      </c>
      <c r="D287" s="8" t="s">
        <v>131</v>
      </c>
      <c r="E287" s="8" t="n">
        <v>2010</v>
      </c>
      <c r="F287" s="8" t="s">
        <v>601</v>
      </c>
      <c r="G287" s="17" t="n">
        <v>0.51</v>
      </c>
      <c r="H287" s="8" t="s">
        <v>742</v>
      </c>
      <c r="I287" s="8" t="s">
        <v>743</v>
      </c>
      <c r="J287" s="8" t="n">
        <v>1703</v>
      </c>
    </row>
    <row r="288" customFormat="false" ht="12.8" hidden="false" customHeight="false" outlineLevel="0" collapsed="false">
      <c r="A288" s="8" t="s">
        <v>721</v>
      </c>
      <c r="B288" s="8" t="s">
        <v>476</v>
      </c>
      <c r="C288" s="8" t="s">
        <v>722</v>
      </c>
      <c r="D288" s="8" t="s">
        <v>477</v>
      </c>
      <c r="E288" s="8" t="n">
        <v>2014</v>
      </c>
      <c r="F288" s="8" t="s">
        <v>544</v>
      </c>
      <c r="G288" s="17" t="n">
        <v>0.515</v>
      </c>
      <c r="I288" s="8" t="s">
        <v>733</v>
      </c>
      <c r="J288" s="8" t="n">
        <v>1704</v>
      </c>
    </row>
    <row r="289" customFormat="false" ht="12.8" hidden="false" customHeight="false" outlineLevel="0" collapsed="false">
      <c r="A289" s="8" t="s">
        <v>721</v>
      </c>
      <c r="B289" s="8" t="s">
        <v>476</v>
      </c>
      <c r="C289" s="8" t="s">
        <v>722</v>
      </c>
      <c r="D289" s="8" t="s">
        <v>133</v>
      </c>
      <c r="E289" s="8" t="n">
        <v>2011</v>
      </c>
      <c r="F289" s="8" t="s">
        <v>527</v>
      </c>
      <c r="G289" s="17" t="n">
        <v>0.517</v>
      </c>
      <c r="I289" s="8" t="s">
        <v>744</v>
      </c>
      <c r="J289" s="8" t="n">
        <v>1705</v>
      </c>
    </row>
    <row r="290" customFormat="false" ht="12.8" hidden="false" customHeight="false" outlineLevel="0" collapsed="false">
      <c r="A290" s="8" t="s">
        <v>721</v>
      </c>
      <c r="B290" s="8" t="s">
        <v>476</v>
      </c>
      <c r="C290" s="8" t="s">
        <v>722</v>
      </c>
      <c r="D290" s="8" t="s">
        <v>133</v>
      </c>
      <c r="E290" s="8" t="n">
        <v>2009</v>
      </c>
      <c r="F290" s="8" t="s">
        <v>538</v>
      </c>
      <c r="G290" s="17" t="n">
        <v>0.52</v>
      </c>
      <c r="H290" s="8" t="s">
        <v>745</v>
      </c>
      <c r="I290" s="8" t="s">
        <v>612</v>
      </c>
      <c r="J290" s="8" t="n">
        <v>1706</v>
      </c>
    </row>
    <row r="291" customFormat="false" ht="12.8" hidden="false" customHeight="false" outlineLevel="0" collapsed="false">
      <c r="A291" s="8" t="s">
        <v>721</v>
      </c>
      <c r="B291" s="8" t="s">
        <v>476</v>
      </c>
      <c r="C291" s="8" t="s">
        <v>722</v>
      </c>
      <c r="D291" s="8" t="s">
        <v>133</v>
      </c>
      <c r="E291" s="8" t="n">
        <v>2009</v>
      </c>
      <c r="F291" s="8" t="s">
        <v>538</v>
      </c>
      <c r="G291" s="17" t="n">
        <v>0.52</v>
      </c>
      <c r="H291" s="8" t="s">
        <v>745</v>
      </c>
      <c r="I291" s="8" t="s">
        <v>612</v>
      </c>
      <c r="J291" s="8" t="n">
        <v>1707</v>
      </c>
    </row>
    <row r="292" customFormat="false" ht="12.8" hidden="false" customHeight="false" outlineLevel="0" collapsed="false">
      <c r="A292" s="8" t="s">
        <v>721</v>
      </c>
      <c r="B292" s="8" t="s">
        <v>476</v>
      </c>
      <c r="C292" s="8" t="s">
        <v>722</v>
      </c>
      <c r="D292" s="8" t="s">
        <v>131</v>
      </c>
      <c r="E292" s="8" t="n">
        <v>2008</v>
      </c>
      <c r="F292" s="8" t="s">
        <v>601</v>
      </c>
      <c r="G292" s="17" t="n">
        <v>0.52</v>
      </c>
      <c r="H292" s="8" t="s">
        <v>746</v>
      </c>
      <c r="I292" s="8" t="s">
        <v>747</v>
      </c>
      <c r="J292" s="8" t="n">
        <v>1708</v>
      </c>
    </row>
    <row r="293" customFormat="false" ht="12.8" hidden="false" customHeight="false" outlineLevel="0" collapsed="false">
      <c r="A293" s="8" t="s">
        <v>721</v>
      </c>
      <c r="B293" s="8" t="s">
        <v>476</v>
      </c>
      <c r="C293" s="8" t="s">
        <v>722</v>
      </c>
      <c r="D293" s="8" t="s">
        <v>95</v>
      </c>
      <c r="E293" s="8" t="n">
        <v>2011</v>
      </c>
      <c r="F293" s="8" t="s">
        <v>527</v>
      </c>
      <c r="G293" s="17" t="n">
        <v>0.534</v>
      </c>
      <c r="I293" s="8" t="s">
        <v>744</v>
      </c>
      <c r="J293" s="8" t="n">
        <v>1709</v>
      </c>
    </row>
    <row r="294" customFormat="false" ht="12.8" hidden="false" customHeight="false" outlineLevel="0" collapsed="false">
      <c r="A294" s="8" t="s">
        <v>721</v>
      </c>
      <c r="B294" s="8" t="s">
        <v>476</v>
      </c>
      <c r="C294" s="8" t="s">
        <v>722</v>
      </c>
      <c r="D294" s="8" t="s">
        <v>135</v>
      </c>
      <c r="E294" s="8" t="n">
        <v>2014</v>
      </c>
      <c r="F294" s="8" t="s">
        <v>544</v>
      </c>
      <c r="G294" s="17" t="n">
        <v>0.54</v>
      </c>
      <c r="I294" s="8" t="s">
        <v>733</v>
      </c>
      <c r="J294" s="8" t="n">
        <v>1710</v>
      </c>
    </row>
    <row r="295" customFormat="false" ht="12.8" hidden="false" customHeight="false" outlineLevel="0" collapsed="false">
      <c r="A295" s="8" t="s">
        <v>721</v>
      </c>
      <c r="B295" s="8" t="s">
        <v>476</v>
      </c>
      <c r="C295" s="8" t="s">
        <v>722</v>
      </c>
      <c r="D295" s="8" t="s">
        <v>136</v>
      </c>
      <c r="E295" s="8" t="n">
        <v>2014</v>
      </c>
      <c r="F295" s="8" t="s">
        <v>544</v>
      </c>
      <c r="G295" s="17" t="n">
        <v>0.542</v>
      </c>
      <c r="I295" s="8" t="s">
        <v>733</v>
      </c>
      <c r="J295" s="8" t="n">
        <v>1711</v>
      </c>
    </row>
    <row r="296" customFormat="false" ht="12.8" hidden="false" customHeight="false" outlineLevel="0" collapsed="false">
      <c r="A296" s="8" t="s">
        <v>721</v>
      </c>
      <c r="B296" s="8" t="s">
        <v>476</v>
      </c>
      <c r="C296" s="8" t="s">
        <v>722</v>
      </c>
      <c r="D296" s="8" t="s">
        <v>91</v>
      </c>
      <c r="E296" s="8" t="n">
        <v>2011</v>
      </c>
      <c r="F296" s="8" t="s">
        <v>527</v>
      </c>
      <c r="G296" s="17" t="n">
        <v>0.549</v>
      </c>
      <c r="I296" s="8" t="s">
        <v>744</v>
      </c>
      <c r="J296" s="8" t="n">
        <v>1712</v>
      </c>
    </row>
    <row r="297" customFormat="false" ht="12.8" hidden="false" customHeight="false" outlineLevel="0" collapsed="false">
      <c r="A297" s="8" t="s">
        <v>721</v>
      </c>
      <c r="B297" s="8" t="s">
        <v>476</v>
      </c>
      <c r="C297" s="8" t="s">
        <v>722</v>
      </c>
      <c r="D297" s="8" t="s">
        <v>95</v>
      </c>
      <c r="E297" s="8" t="n">
        <v>2010</v>
      </c>
      <c r="F297" s="8" t="s">
        <v>538</v>
      </c>
      <c r="G297" s="17" t="n">
        <v>0.55</v>
      </c>
      <c r="I297" s="8" t="s">
        <v>730</v>
      </c>
      <c r="J297" s="8" t="n">
        <v>1713</v>
      </c>
    </row>
    <row r="298" customFormat="false" ht="12.8" hidden="false" customHeight="false" outlineLevel="0" collapsed="false">
      <c r="A298" s="8" t="s">
        <v>721</v>
      </c>
      <c r="B298" s="8" t="s">
        <v>476</v>
      </c>
      <c r="C298" s="8" t="s">
        <v>722</v>
      </c>
      <c r="D298" s="8" t="s">
        <v>170</v>
      </c>
      <c r="E298" s="8" t="n">
        <v>2011</v>
      </c>
      <c r="F298" s="8" t="s">
        <v>527</v>
      </c>
      <c r="G298" s="17" t="n">
        <v>0.557</v>
      </c>
      <c r="I298" s="8" t="s">
        <v>744</v>
      </c>
      <c r="J298" s="8" t="n">
        <v>1714</v>
      </c>
    </row>
    <row r="299" customFormat="false" ht="12.8" hidden="false" customHeight="false" outlineLevel="0" collapsed="false">
      <c r="A299" s="8" t="s">
        <v>721</v>
      </c>
      <c r="B299" s="8" t="s">
        <v>476</v>
      </c>
      <c r="C299" s="8" t="s">
        <v>722</v>
      </c>
      <c r="D299" s="8" t="s">
        <v>477</v>
      </c>
      <c r="E299" s="8" t="n">
        <v>2011</v>
      </c>
      <c r="F299" s="8" t="s">
        <v>527</v>
      </c>
      <c r="G299" s="17" t="n">
        <v>0.566</v>
      </c>
      <c r="I299" s="8" t="s">
        <v>744</v>
      </c>
      <c r="J299" s="8" t="n">
        <v>1715</v>
      </c>
    </row>
    <row r="300" customFormat="false" ht="12.8" hidden="false" customHeight="false" outlineLevel="0" collapsed="false">
      <c r="A300" s="8" t="s">
        <v>721</v>
      </c>
      <c r="B300" s="8" t="s">
        <v>476</v>
      </c>
      <c r="C300" s="8" t="s">
        <v>722</v>
      </c>
      <c r="D300" s="8" t="s">
        <v>96</v>
      </c>
      <c r="E300" s="8" t="n">
        <v>2011</v>
      </c>
      <c r="F300" s="8" t="s">
        <v>527</v>
      </c>
      <c r="G300" s="17" t="n">
        <v>0.577</v>
      </c>
      <c r="I300" s="8" t="s">
        <v>744</v>
      </c>
      <c r="J300" s="8" t="n">
        <v>1716</v>
      </c>
    </row>
    <row r="301" customFormat="false" ht="12.8" hidden="false" customHeight="false" outlineLevel="0" collapsed="false">
      <c r="A301" s="8" t="s">
        <v>721</v>
      </c>
      <c r="B301" s="8" t="s">
        <v>476</v>
      </c>
      <c r="C301" s="8" t="s">
        <v>722</v>
      </c>
      <c r="D301" s="8" t="s">
        <v>131</v>
      </c>
      <c r="E301" s="8" t="n">
        <v>2008</v>
      </c>
      <c r="F301" s="8" t="s">
        <v>601</v>
      </c>
      <c r="G301" s="17" t="n">
        <v>0.59</v>
      </c>
      <c r="H301" s="8" t="s">
        <v>748</v>
      </c>
      <c r="I301" s="8" t="s">
        <v>749</v>
      </c>
      <c r="J301" s="8" t="n">
        <v>1717</v>
      </c>
    </row>
    <row r="302" customFormat="false" ht="12.8" hidden="false" customHeight="false" outlineLevel="0" collapsed="false">
      <c r="A302" s="8" t="s">
        <v>721</v>
      </c>
      <c r="B302" s="8" t="s">
        <v>476</v>
      </c>
      <c r="C302" s="8" t="s">
        <v>722</v>
      </c>
      <c r="D302" s="8" t="s">
        <v>131</v>
      </c>
      <c r="E302" s="8" t="n">
        <v>2008</v>
      </c>
      <c r="F302" s="8" t="s">
        <v>601</v>
      </c>
      <c r="G302" s="17" t="n">
        <v>0.59</v>
      </c>
      <c r="H302" s="8" t="s">
        <v>748</v>
      </c>
      <c r="I302" s="8" t="s">
        <v>749</v>
      </c>
      <c r="J302" s="8" t="n">
        <v>1718</v>
      </c>
    </row>
    <row r="303" customFormat="false" ht="12.8" hidden="false" customHeight="false" outlineLevel="0" collapsed="false">
      <c r="A303" s="8" t="s">
        <v>721</v>
      </c>
      <c r="B303" s="8" t="s">
        <v>476</v>
      </c>
      <c r="C303" s="8" t="s">
        <v>722</v>
      </c>
      <c r="D303" s="8" t="s">
        <v>477</v>
      </c>
      <c r="E303" s="8" t="n">
        <v>2010</v>
      </c>
      <c r="F303" s="8" t="s">
        <v>538</v>
      </c>
      <c r="G303" s="17" t="n">
        <v>0.6</v>
      </c>
      <c r="I303" s="8" t="s">
        <v>730</v>
      </c>
      <c r="J303" s="8" t="n">
        <v>1719</v>
      </c>
    </row>
    <row r="304" customFormat="false" ht="12.8" hidden="false" customHeight="false" outlineLevel="0" collapsed="false">
      <c r="A304" s="8" t="s">
        <v>721</v>
      </c>
      <c r="B304" s="8" t="s">
        <v>476</v>
      </c>
      <c r="C304" s="8" t="s">
        <v>722</v>
      </c>
      <c r="D304" s="8" t="s">
        <v>131</v>
      </c>
      <c r="E304" s="8" t="n">
        <v>2010</v>
      </c>
      <c r="F304" s="8" t="s">
        <v>527</v>
      </c>
      <c r="G304" s="17" t="n">
        <v>0.6</v>
      </c>
      <c r="I304" s="8" t="s">
        <v>737</v>
      </c>
      <c r="J304" s="8" t="n">
        <v>1720</v>
      </c>
    </row>
    <row r="305" customFormat="false" ht="12.8" hidden="false" customHeight="false" outlineLevel="0" collapsed="false">
      <c r="A305" s="8" t="s">
        <v>721</v>
      </c>
      <c r="B305" s="8" t="s">
        <v>476</v>
      </c>
      <c r="C305" s="8" t="s">
        <v>722</v>
      </c>
      <c r="D305" s="8" t="s">
        <v>134</v>
      </c>
      <c r="E305" s="8" t="n">
        <v>2009</v>
      </c>
      <c r="F305" s="8" t="s">
        <v>538</v>
      </c>
      <c r="G305" s="17" t="n">
        <v>0.63</v>
      </c>
      <c r="H305" s="8" t="s">
        <v>745</v>
      </c>
      <c r="I305" s="8" t="s">
        <v>612</v>
      </c>
      <c r="J305" s="8" t="n">
        <v>1721</v>
      </c>
    </row>
    <row r="306" customFormat="false" ht="12.8" hidden="false" customHeight="false" outlineLevel="0" collapsed="false">
      <c r="A306" s="8" t="s">
        <v>721</v>
      </c>
      <c r="B306" s="8" t="s">
        <v>476</v>
      </c>
      <c r="C306" s="8" t="s">
        <v>722</v>
      </c>
      <c r="D306" s="8" t="s">
        <v>134</v>
      </c>
      <c r="E306" s="8" t="n">
        <v>2009</v>
      </c>
      <c r="F306" s="8" t="s">
        <v>538</v>
      </c>
      <c r="G306" s="17" t="n">
        <v>0.63</v>
      </c>
      <c r="H306" s="8" t="s">
        <v>745</v>
      </c>
      <c r="I306" s="8" t="s">
        <v>612</v>
      </c>
      <c r="J306" s="8" t="n">
        <v>1722</v>
      </c>
    </row>
    <row r="307" customFormat="false" ht="12.8" hidden="false" customHeight="false" outlineLevel="0" collapsed="false">
      <c r="A307" s="8" t="s">
        <v>721</v>
      </c>
      <c r="B307" s="8" t="s">
        <v>476</v>
      </c>
      <c r="C307" s="8" t="s">
        <v>722</v>
      </c>
      <c r="D307" s="8" t="s">
        <v>91</v>
      </c>
      <c r="E307" s="8" t="n">
        <v>2010</v>
      </c>
      <c r="F307" s="8" t="s">
        <v>538</v>
      </c>
      <c r="G307" s="17" t="n">
        <v>0.63</v>
      </c>
      <c r="I307" s="8" t="s">
        <v>730</v>
      </c>
      <c r="J307" s="8" t="n">
        <v>1723</v>
      </c>
    </row>
    <row r="308" customFormat="false" ht="12.8" hidden="false" customHeight="false" outlineLevel="0" collapsed="false">
      <c r="A308" s="8" t="s">
        <v>721</v>
      </c>
      <c r="B308" s="8" t="s">
        <v>476</v>
      </c>
      <c r="C308" s="8" t="s">
        <v>722</v>
      </c>
      <c r="D308" s="8" t="s">
        <v>132</v>
      </c>
      <c r="E308" s="8" t="n">
        <v>2010</v>
      </c>
      <c r="F308" s="8" t="s">
        <v>538</v>
      </c>
      <c r="G308" s="17" t="n">
        <v>0.63</v>
      </c>
      <c r="I308" s="8" t="s">
        <v>730</v>
      </c>
      <c r="J308" s="8" t="n">
        <v>1724</v>
      </c>
    </row>
    <row r="309" customFormat="false" ht="12.8" hidden="false" customHeight="false" outlineLevel="0" collapsed="false">
      <c r="A309" s="8" t="s">
        <v>721</v>
      </c>
      <c r="B309" s="8" t="s">
        <v>476</v>
      </c>
      <c r="C309" s="8" t="s">
        <v>722</v>
      </c>
      <c r="D309" s="8" t="s">
        <v>133</v>
      </c>
      <c r="E309" s="8" t="n">
        <v>2010</v>
      </c>
      <c r="F309" s="8" t="s">
        <v>527</v>
      </c>
      <c r="G309" s="17" t="n">
        <v>0.7</v>
      </c>
      <c r="I309" s="8" t="s">
        <v>750</v>
      </c>
      <c r="J309" s="8" t="n">
        <v>1725</v>
      </c>
    </row>
    <row r="310" customFormat="false" ht="12.8" hidden="false" customHeight="false" outlineLevel="0" collapsed="false">
      <c r="A310" s="8" t="s">
        <v>721</v>
      </c>
      <c r="B310" s="8" t="s">
        <v>476</v>
      </c>
      <c r="C310" s="8" t="s">
        <v>722</v>
      </c>
      <c r="D310" s="8" t="s">
        <v>124</v>
      </c>
      <c r="E310" s="8" t="n">
        <v>2012</v>
      </c>
      <c r="F310" s="8" t="s">
        <v>544</v>
      </c>
      <c r="G310" s="17" t="n">
        <v>0.73</v>
      </c>
      <c r="H310" s="8" t="s">
        <v>751</v>
      </c>
      <c r="I310" s="8" t="s">
        <v>694</v>
      </c>
      <c r="J310" s="8" t="n">
        <v>1726</v>
      </c>
    </row>
    <row r="311" customFormat="false" ht="12.8" hidden="false" customHeight="false" outlineLevel="0" collapsed="false">
      <c r="A311" s="8" t="s">
        <v>721</v>
      </c>
      <c r="B311" s="8" t="s">
        <v>476</v>
      </c>
      <c r="C311" s="8" t="s">
        <v>722</v>
      </c>
      <c r="D311" s="8" t="s">
        <v>96</v>
      </c>
      <c r="E311" s="8" t="n">
        <v>2010</v>
      </c>
      <c r="F311" s="8" t="s">
        <v>538</v>
      </c>
      <c r="G311" s="17" t="n">
        <v>0.76</v>
      </c>
      <c r="I311" s="8" t="s">
        <v>730</v>
      </c>
      <c r="J311" s="8" t="n">
        <v>1727</v>
      </c>
    </row>
    <row r="312" customFormat="false" ht="12.8" hidden="false" customHeight="false" outlineLevel="0" collapsed="false">
      <c r="A312" s="8" t="s">
        <v>721</v>
      </c>
      <c r="B312" s="8" t="s">
        <v>476</v>
      </c>
      <c r="C312" s="8" t="s">
        <v>722</v>
      </c>
      <c r="D312" s="8" t="s">
        <v>124</v>
      </c>
      <c r="E312" s="8" t="n">
        <v>2012</v>
      </c>
      <c r="F312" s="8" t="s">
        <v>544</v>
      </c>
      <c r="G312" s="17" t="n">
        <v>0.78</v>
      </c>
      <c r="H312" s="8" t="s">
        <v>752</v>
      </c>
      <c r="I312" s="8" t="s">
        <v>694</v>
      </c>
      <c r="J312" s="8" t="n">
        <v>1728</v>
      </c>
    </row>
    <row r="313" customFormat="false" ht="12.8" hidden="false" customHeight="false" outlineLevel="0" collapsed="false">
      <c r="A313" s="8" t="s">
        <v>721</v>
      </c>
      <c r="B313" s="8" t="s">
        <v>476</v>
      </c>
      <c r="C313" s="8" t="s">
        <v>722</v>
      </c>
      <c r="D313" s="8" t="s">
        <v>477</v>
      </c>
      <c r="E313" s="8" t="n">
        <v>2011</v>
      </c>
      <c r="F313" s="8" t="s">
        <v>527</v>
      </c>
      <c r="G313" s="17" t="n">
        <v>0.8</v>
      </c>
      <c r="I313" s="8" t="s">
        <v>735</v>
      </c>
      <c r="J313" s="8" t="n">
        <v>1729</v>
      </c>
    </row>
    <row r="314" customFormat="false" ht="12.8" hidden="false" customHeight="false" outlineLevel="0" collapsed="false">
      <c r="A314" s="8" t="s">
        <v>721</v>
      </c>
      <c r="B314" s="8" t="s">
        <v>476</v>
      </c>
      <c r="C314" s="8" t="s">
        <v>722</v>
      </c>
      <c r="D314" s="8" t="s">
        <v>133</v>
      </c>
      <c r="E314" s="8" t="n">
        <v>2010</v>
      </c>
      <c r="F314" s="8" t="s">
        <v>527</v>
      </c>
      <c r="G314" s="17" t="n">
        <v>0.8</v>
      </c>
      <c r="H314" s="8" t="s">
        <v>547</v>
      </c>
      <c r="I314" s="8" t="s">
        <v>750</v>
      </c>
      <c r="J314" s="8" t="n">
        <v>1730</v>
      </c>
    </row>
    <row r="315" customFormat="false" ht="12.8" hidden="false" customHeight="false" outlineLevel="0" collapsed="false">
      <c r="A315" s="8" t="s">
        <v>721</v>
      </c>
      <c r="B315" s="8" t="s">
        <v>476</v>
      </c>
      <c r="C315" s="8" t="s">
        <v>722</v>
      </c>
      <c r="D315" s="8" t="s">
        <v>753</v>
      </c>
      <c r="E315" s="8" t="n">
        <v>2008</v>
      </c>
      <c r="F315" s="8" t="s">
        <v>527</v>
      </c>
      <c r="G315" s="17" t="n">
        <v>1.1</v>
      </c>
      <c r="I315" s="8" t="s">
        <v>754</v>
      </c>
      <c r="J315" s="8" t="n">
        <v>1731</v>
      </c>
    </row>
    <row r="316" customFormat="false" ht="15.8" hidden="false" customHeight="false" outlineLevel="0" collapsed="false">
      <c r="A316" s="4" t="s">
        <v>755</v>
      </c>
      <c r="B316" s="4" t="s">
        <v>497</v>
      </c>
      <c r="C316" s="4" t="s">
        <v>756</v>
      </c>
      <c r="D316" s="4" t="s">
        <v>103</v>
      </c>
      <c r="E316" s="4" t="n">
        <v>2008</v>
      </c>
      <c r="F316" s="4" t="s">
        <v>538</v>
      </c>
      <c r="G316" s="13" t="n">
        <v>10.7407407407407</v>
      </c>
      <c r="I316" s="4" t="s">
        <v>617</v>
      </c>
      <c r="J316" s="4" t="n">
        <v>838</v>
      </c>
    </row>
    <row r="317" customFormat="false" ht="15.8" hidden="false" customHeight="false" outlineLevel="0" collapsed="false">
      <c r="A317" s="4" t="s">
        <v>755</v>
      </c>
      <c r="B317" s="4" t="s">
        <v>497</v>
      </c>
      <c r="C317" s="4" t="s">
        <v>756</v>
      </c>
      <c r="D317" s="4" t="s">
        <v>133</v>
      </c>
      <c r="E317" s="4" t="n">
        <v>2012</v>
      </c>
      <c r="F317" s="4" t="s">
        <v>544</v>
      </c>
      <c r="G317" s="13" t="n">
        <v>12.3702158273381</v>
      </c>
      <c r="H317" s="4" t="s">
        <v>757</v>
      </c>
      <c r="I317" s="4" t="s">
        <v>591</v>
      </c>
      <c r="J317" s="4" t="n">
        <v>839</v>
      </c>
    </row>
    <row r="318" customFormat="false" ht="15.8" hidden="false" customHeight="false" outlineLevel="0" collapsed="false">
      <c r="A318" s="4" t="s">
        <v>755</v>
      </c>
      <c r="B318" s="4" t="s">
        <v>497</v>
      </c>
      <c r="C318" s="4" t="s">
        <v>756</v>
      </c>
      <c r="D318" s="4" t="s">
        <v>103</v>
      </c>
      <c r="E318" s="4" t="n">
        <v>2013</v>
      </c>
      <c r="F318" s="4" t="s">
        <v>601</v>
      </c>
      <c r="G318" s="13" t="n">
        <v>12.4</v>
      </c>
      <c r="I318" s="4" t="s">
        <v>758</v>
      </c>
      <c r="J318" s="4" t="n">
        <v>840</v>
      </c>
    </row>
    <row r="319" customFormat="false" ht="15.8" hidden="false" customHeight="false" outlineLevel="0" collapsed="false">
      <c r="A319" s="4" t="s">
        <v>755</v>
      </c>
      <c r="B319" s="4" t="s">
        <v>497</v>
      </c>
      <c r="C319" s="4" t="s">
        <v>756</v>
      </c>
      <c r="D319" s="4" t="s">
        <v>153</v>
      </c>
      <c r="E319" s="4" t="n">
        <v>2010</v>
      </c>
      <c r="F319" s="4" t="s">
        <v>527</v>
      </c>
      <c r="G319" s="13" t="n">
        <v>14.3846043165468</v>
      </c>
      <c r="I319" s="4" t="s">
        <v>759</v>
      </c>
      <c r="J319" s="4" t="n">
        <v>841</v>
      </c>
    </row>
    <row r="320" customFormat="false" ht="15.8" hidden="false" customHeight="false" outlineLevel="0" collapsed="false">
      <c r="A320" s="4" t="s">
        <v>755</v>
      </c>
      <c r="B320" s="4" t="s">
        <v>497</v>
      </c>
      <c r="C320" s="4" t="s">
        <v>756</v>
      </c>
      <c r="D320" s="4" t="s">
        <v>102</v>
      </c>
      <c r="E320" s="4" t="n">
        <v>2013</v>
      </c>
      <c r="F320" s="4" t="s">
        <v>601</v>
      </c>
      <c r="G320" s="13" t="n">
        <v>15.3</v>
      </c>
      <c r="H320" s="4" t="s">
        <v>760</v>
      </c>
      <c r="I320" s="4" t="s">
        <v>758</v>
      </c>
      <c r="J320" s="4" t="n">
        <v>842</v>
      </c>
    </row>
    <row r="321" customFormat="false" ht="15.8" hidden="false" customHeight="false" outlineLevel="0" collapsed="false">
      <c r="A321" s="4" t="s">
        <v>755</v>
      </c>
      <c r="B321" s="4" t="s">
        <v>497</v>
      </c>
      <c r="C321" s="4" t="s">
        <v>761</v>
      </c>
      <c r="D321" s="4" t="s">
        <v>153</v>
      </c>
      <c r="E321" s="4" t="n">
        <v>2014</v>
      </c>
      <c r="F321" s="4" t="s">
        <v>544</v>
      </c>
      <c r="G321" s="13" t="n">
        <v>15.55</v>
      </c>
      <c r="H321" s="4" t="s">
        <v>762</v>
      </c>
      <c r="I321" s="4" t="s">
        <v>763</v>
      </c>
      <c r="J321" s="4" t="n">
        <v>843</v>
      </c>
    </row>
    <row r="322" customFormat="false" ht="15.8" hidden="false" customHeight="false" outlineLevel="0" collapsed="false">
      <c r="A322" s="4" t="s">
        <v>755</v>
      </c>
      <c r="B322" s="4" t="s">
        <v>497</v>
      </c>
      <c r="C322" s="4" t="s">
        <v>756</v>
      </c>
      <c r="D322" s="4" t="s">
        <v>115</v>
      </c>
      <c r="E322" s="4" t="n">
        <v>2012</v>
      </c>
      <c r="F322" s="4" t="s">
        <v>544</v>
      </c>
      <c r="G322" s="13" t="n">
        <v>16.34</v>
      </c>
      <c r="I322" s="4" t="s">
        <v>692</v>
      </c>
      <c r="J322" s="4" t="n">
        <v>844</v>
      </c>
    </row>
    <row r="323" customFormat="false" ht="15.8" hidden="false" customHeight="false" outlineLevel="0" collapsed="false">
      <c r="A323" s="4" t="s">
        <v>755</v>
      </c>
      <c r="B323" s="4" t="s">
        <v>497</v>
      </c>
      <c r="C323" s="4" t="s">
        <v>756</v>
      </c>
      <c r="D323" s="4" t="s">
        <v>103</v>
      </c>
      <c r="E323" s="4" t="n">
        <v>2008</v>
      </c>
      <c r="F323" s="4" t="s">
        <v>538</v>
      </c>
      <c r="G323" s="13" t="n">
        <v>16.5277777777778</v>
      </c>
      <c r="I323" s="4" t="s">
        <v>617</v>
      </c>
      <c r="J323" s="4" t="n">
        <v>845</v>
      </c>
    </row>
    <row r="324" customFormat="false" ht="15.8" hidden="false" customHeight="false" outlineLevel="0" collapsed="false">
      <c r="A324" s="4" t="s">
        <v>755</v>
      </c>
      <c r="B324" s="4" t="s">
        <v>497</v>
      </c>
      <c r="C324" s="4" t="s">
        <v>756</v>
      </c>
      <c r="D324" s="4" t="s">
        <v>764</v>
      </c>
      <c r="E324" s="4" t="n">
        <v>2010</v>
      </c>
      <c r="F324" s="4" t="s">
        <v>527</v>
      </c>
      <c r="G324" s="13" t="n">
        <v>17.0886597938144</v>
      </c>
      <c r="H324" s="4" t="s">
        <v>765</v>
      </c>
      <c r="I324" s="4" t="s">
        <v>759</v>
      </c>
      <c r="J324" s="4" t="n">
        <v>846</v>
      </c>
    </row>
    <row r="325" customFormat="false" ht="15.8" hidden="false" customHeight="false" outlineLevel="0" collapsed="false">
      <c r="A325" s="4" t="s">
        <v>755</v>
      </c>
      <c r="B325" s="4" t="s">
        <v>497</v>
      </c>
      <c r="C325" s="4" t="s">
        <v>756</v>
      </c>
      <c r="D325" s="4" t="s">
        <v>764</v>
      </c>
      <c r="E325" s="4" t="n">
        <v>2010</v>
      </c>
      <c r="F325" s="4" t="s">
        <v>527</v>
      </c>
      <c r="G325" s="13" t="n">
        <v>17.2948453608247</v>
      </c>
      <c r="H325" s="4" t="s">
        <v>765</v>
      </c>
      <c r="I325" s="4" t="s">
        <v>759</v>
      </c>
      <c r="J325" s="4" t="n">
        <v>847</v>
      </c>
    </row>
    <row r="326" customFormat="false" ht="15.8" hidden="false" customHeight="false" outlineLevel="0" collapsed="false">
      <c r="A326" s="4" t="s">
        <v>755</v>
      </c>
      <c r="B326" s="4" t="s">
        <v>497</v>
      </c>
      <c r="C326" s="4" t="s">
        <v>756</v>
      </c>
      <c r="D326" s="4" t="s">
        <v>91</v>
      </c>
      <c r="E326" s="4" t="n">
        <v>2012</v>
      </c>
      <c r="F326" s="4" t="s">
        <v>544</v>
      </c>
      <c r="G326" s="13" t="n">
        <v>17.35</v>
      </c>
      <c r="I326" s="4" t="s">
        <v>599</v>
      </c>
      <c r="J326" s="4" t="n">
        <v>848</v>
      </c>
    </row>
    <row r="327" customFormat="false" ht="15.8" hidden="false" customHeight="false" outlineLevel="0" collapsed="false">
      <c r="A327" s="4" t="s">
        <v>755</v>
      </c>
      <c r="B327" s="4" t="s">
        <v>497</v>
      </c>
      <c r="C327" s="4" t="s">
        <v>756</v>
      </c>
      <c r="D327" s="4" t="s">
        <v>153</v>
      </c>
      <c r="E327" s="4" t="n">
        <v>2010</v>
      </c>
      <c r="F327" s="4" t="s">
        <v>527</v>
      </c>
      <c r="G327" s="13" t="n">
        <v>17.4061870503597</v>
      </c>
      <c r="I327" s="4" t="s">
        <v>759</v>
      </c>
      <c r="J327" s="4" t="n">
        <v>849</v>
      </c>
    </row>
    <row r="328" customFormat="false" ht="15.8" hidden="false" customHeight="false" outlineLevel="0" collapsed="false">
      <c r="A328" s="4" t="s">
        <v>755</v>
      </c>
      <c r="B328" s="4" t="s">
        <v>497</v>
      </c>
      <c r="C328" s="4" t="s">
        <v>756</v>
      </c>
      <c r="D328" s="4" t="s">
        <v>133</v>
      </c>
      <c r="E328" s="4" t="n">
        <v>2006</v>
      </c>
      <c r="F328" s="4" t="s">
        <v>538</v>
      </c>
      <c r="G328" s="13" t="n">
        <v>17.6908616494845</v>
      </c>
      <c r="H328" s="4" t="s">
        <v>766</v>
      </c>
      <c r="I328" s="4" t="s">
        <v>572</v>
      </c>
      <c r="J328" s="4" t="n">
        <v>850</v>
      </c>
    </row>
    <row r="329" customFormat="false" ht="15.8" hidden="false" customHeight="false" outlineLevel="0" collapsed="false">
      <c r="A329" s="4" t="s">
        <v>755</v>
      </c>
      <c r="B329" s="4" t="s">
        <v>497</v>
      </c>
      <c r="C329" s="4" t="s">
        <v>756</v>
      </c>
      <c r="D329" s="4" t="s">
        <v>133</v>
      </c>
      <c r="E329" s="4" t="n">
        <v>2012</v>
      </c>
      <c r="F329" s="4" t="s">
        <v>527</v>
      </c>
      <c r="G329" s="13" t="n">
        <v>17.72</v>
      </c>
      <c r="I329" s="4" t="s">
        <v>767</v>
      </c>
      <c r="J329" s="4" t="n">
        <v>851</v>
      </c>
    </row>
    <row r="330" customFormat="false" ht="15.8" hidden="false" customHeight="false" outlineLevel="0" collapsed="false">
      <c r="A330" s="4" t="s">
        <v>755</v>
      </c>
      <c r="B330" s="4" t="s">
        <v>497</v>
      </c>
      <c r="C330" s="4" t="s">
        <v>756</v>
      </c>
      <c r="D330" s="4" t="s">
        <v>133</v>
      </c>
      <c r="E330" s="4" t="n">
        <v>2012</v>
      </c>
      <c r="F330" s="4" t="s">
        <v>527</v>
      </c>
      <c r="G330" s="13" t="n">
        <v>17.86</v>
      </c>
      <c r="I330" s="4" t="s">
        <v>767</v>
      </c>
      <c r="J330" s="4" t="n">
        <v>852</v>
      </c>
    </row>
    <row r="331" customFormat="false" ht="15.8" hidden="false" customHeight="false" outlineLevel="0" collapsed="false">
      <c r="A331" s="4" t="s">
        <v>755</v>
      </c>
      <c r="B331" s="4" t="s">
        <v>497</v>
      </c>
      <c r="C331" s="4" t="s">
        <v>756</v>
      </c>
      <c r="D331" s="4" t="s">
        <v>133</v>
      </c>
      <c r="E331" s="4" t="n">
        <v>2006</v>
      </c>
      <c r="F331" s="4" t="s">
        <v>538</v>
      </c>
      <c r="G331" s="13" t="n">
        <v>17.9176657731959</v>
      </c>
      <c r="H331" s="4" t="s">
        <v>768</v>
      </c>
      <c r="I331" s="4" t="s">
        <v>572</v>
      </c>
      <c r="J331" s="4" t="n">
        <v>853</v>
      </c>
    </row>
    <row r="332" customFormat="false" ht="15.8" hidden="false" customHeight="false" outlineLevel="0" collapsed="false">
      <c r="A332" s="4" t="s">
        <v>755</v>
      </c>
      <c r="B332" s="4" t="s">
        <v>497</v>
      </c>
      <c r="C332" s="4" t="s">
        <v>756</v>
      </c>
      <c r="D332" s="4" t="s">
        <v>102</v>
      </c>
      <c r="E332" s="4" t="n">
        <v>2013</v>
      </c>
      <c r="F332" s="4" t="s">
        <v>601</v>
      </c>
      <c r="G332" s="13" t="n">
        <v>18.2</v>
      </c>
      <c r="H332" s="4" t="s">
        <v>769</v>
      </c>
      <c r="I332" s="4" t="s">
        <v>758</v>
      </c>
      <c r="J332" s="4" t="n">
        <v>854</v>
      </c>
    </row>
    <row r="333" customFormat="false" ht="15.8" hidden="false" customHeight="false" outlineLevel="0" collapsed="false">
      <c r="A333" s="4" t="s">
        <v>755</v>
      </c>
      <c r="B333" s="4" t="s">
        <v>497</v>
      </c>
      <c r="C333" s="4" t="s">
        <v>756</v>
      </c>
      <c r="D333" s="4" t="s">
        <v>131</v>
      </c>
      <c r="E333" s="4" t="n">
        <v>2011</v>
      </c>
      <c r="F333" s="4" t="s">
        <v>527</v>
      </c>
      <c r="G333" s="13" t="n">
        <v>18.3</v>
      </c>
      <c r="H333" s="4" t="s">
        <v>770</v>
      </c>
      <c r="I333" s="4" t="s">
        <v>598</v>
      </c>
      <c r="J333" s="4" t="n">
        <v>855</v>
      </c>
    </row>
    <row r="334" customFormat="false" ht="15.8" hidden="false" customHeight="false" outlineLevel="0" collapsed="false">
      <c r="A334" s="4" t="s">
        <v>755</v>
      </c>
      <c r="B334" s="4" t="s">
        <v>497</v>
      </c>
      <c r="C334" s="4" t="s">
        <v>756</v>
      </c>
      <c r="D334" s="4" t="s">
        <v>771</v>
      </c>
      <c r="E334" s="4" t="n">
        <v>2011</v>
      </c>
      <c r="F334" s="4" t="s">
        <v>527</v>
      </c>
      <c r="G334" s="13" t="n">
        <v>18.5</v>
      </c>
      <c r="H334" s="4" t="s">
        <v>597</v>
      </c>
      <c r="I334" s="4" t="s">
        <v>598</v>
      </c>
      <c r="J334" s="4" t="n">
        <v>856</v>
      </c>
    </row>
    <row r="335" customFormat="false" ht="15.8" hidden="false" customHeight="false" outlineLevel="0" collapsed="false">
      <c r="A335" s="4" t="s">
        <v>755</v>
      </c>
      <c r="B335" s="4" t="s">
        <v>497</v>
      </c>
      <c r="C335" s="4" t="s">
        <v>756</v>
      </c>
      <c r="D335" s="4" t="s">
        <v>133</v>
      </c>
      <c r="E335" s="4" t="n">
        <v>2006</v>
      </c>
      <c r="F335" s="4" t="s">
        <v>538</v>
      </c>
      <c r="G335" s="13" t="n">
        <v>18.5980781443299</v>
      </c>
      <c r="H335" s="4" t="s">
        <v>772</v>
      </c>
      <c r="I335" s="4" t="s">
        <v>572</v>
      </c>
      <c r="J335" s="4" t="n">
        <v>857</v>
      </c>
    </row>
    <row r="336" customFormat="false" ht="15.8" hidden="false" customHeight="false" outlineLevel="0" collapsed="false">
      <c r="A336" s="4" t="s">
        <v>755</v>
      </c>
      <c r="B336" s="4" t="s">
        <v>497</v>
      </c>
      <c r="C336" s="4" t="s">
        <v>756</v>
      </c>
      <c r="D336" s="4" t="s">
        <v>170</v>
      </c>
      <c r="E336" s="4" t="n">
        <v>2012</v>
      </c>
      <c r="F336" s="4" t="s">
        <v>527</v>
      </c>
      <c r="G336" s="13" t="n">
        <v>19.6</v>
      </c>
      <c r="H336" s="4" t="s">
        <v>773</v>
      </c>
      <c r="I336" s="4" t="s">
        <v>774</v>
      </c>
      <c r="J336" s="4" t="n">
        <v>858</v>
      </c>
    </row>
    <row r="337" customFormat="false" ht="15.8" hidden="false" customHeight="false" outlineLevel="0" collapsed="false">
      <c r="A337" s="4" t="s">
        <v>755</v>
      </c>
      <c r="B337" s="4" t="s">
        <v>497</v>
      </c>
      <c r="C337" s="4" t="s">
        <v>756</v>
      </c>
      <c r="D337" s="4" t="s">
        <v>96</v>
      </c>
      <c r="E337" s="4" t="n">
        <v>2011</v>
      </c>
      <c r="F337" s="4" t="s">
        <v>527</v>
      </c>
      <c r="G337" s="13" t="n">
        <v>19.8</v>
      </c>
      <c r="H337" s="4" t="s">
        <v>597</v>
      </c>
      <c r="I337" s="4" t="s">
        <v>598</v>
      </c>
      <c r="J337" s="4" t="n">
        <v>859</v>
      </c>
    </row>
    <row r="338" customFormat="false" ht="15.8" hidden="false" customHeight="false" outlineLevel="0" collapsed="false">
      <c r="A338" s="4" t="s">
        <v>755</v>
      </c>
      <c r="B338" s="4" t="s">
        <v>497</v>
      </c>
      <c r="C338" s="4" t="s">
        <v>756</v>
      </c>
      <c r="D338" s="4" t="s">
        <v>131</v>
      </c>
      <c r="E338" s="4" t="n">
        <v>2011</v>
      </c>
      <c r="F338" s="4" t="s">
        <v>527</v>
      </c>
      <c r="G338" s="13" t="n">
        <v>20</v>
      </c>
      <c r="H338" s="4" t="s">
        <v>775</v>
      </c>
      <c r="I338" s="4" t="s">
        <v>735</v>
      </c>
      <c r="J338" s="4" t="n">
        <v>860</v>
      </c>
    </row>
    <row r="339" customFormat="false" ht="15.8" hidden="false" customHeight="false" outlineLevel="0" collapsed="false">
      <c r="A339" s="4" t="s">
        <v>755</v>
      </c>
      <c r="B339" s="4" t="s">
        <v>497</v>
      </c>
      <c r="C339" s="4" t="s">
        <v>756</v>
      </c>
      <c r="D339" s="4" t="s">
        <v>131</v>
      </c>
      <c r="E339" s="4" t="n">
        <v>2014</v>
      </c>
      <c r="F339" s="4" t="s">
        <v>527</v>
      </c>
      <c r="G339" s="13" t="n">
        <v>20</v>
      </c>
      <c r="H339" s="4" t="s">
        <v>776</v>
      </c>
      <c r="I339" s="4" t="s">
        <v>777</v>
      </c>
      <c r="J339" s="4" t="n">
        <v>861</v>
      </c>
    </row>
    <row r="340" customFormat="false" ht="15.8" hidden="false" customHeight="false" outlineLevel="0" collapsed="false">
      <c r="A340" s="4" t="s">
        <v>755</v>
      </c>
      <c r="B340" s="4" t="s">
        <v>497</v>
      </c>
      <c r="C340" s="4" t="s">
        <v>756</v>
      </c>
      <c r="D340" s="4" t="s">
        <v>778</v>
      </c>
      <c r="E340" s="4" t="n">
        <v>2013</v>
      </c>
      <c r="F340" s="4" t="s">
        <v>538</v>
      </c>
      <c r="G340" s="13" t="n">
        <v>20.1438848920863</v>
      </c>
      <c r="I340" s="4" t="s">
        <v>779</v>
      </c>
      <c r="J340" s="4" t="n">
        <v>862</v>
      </c>
    </row>
    <row r="341" customFormat="false" ht="15.8" hidden="false" customHeight="false" outlineLevel="0" collapsed="false">
      <c r="A341" s="4" t="s">
        <v>755</v>
      </c>
      <c r="B341" s="4" t="s">
        <v>497</v>
      </c>
      <c r="C341" s="4" t="s">
        <v>780</v>
      </c>
      <c r="D341" s="4" t="s">
        <v>91</v>
      </c>
      <c r="E341" s="4" t="n">
        <v>2014</v>
      </c>
      <c r="F341" s="4" t="s">
        <v>544</v>
      </c>
      <c r="G341" s="13" t="n">
        <v>20.2039175257732</v>
      </c>
      <c r="H341" s="4" t="s">
        <v>615</v>
      </c>
      <c r="I341" s="4" t="s">
        <v>546</v>
      </c>
      <c r="J341" s="4" t="n">
        <v>863</v>
      </c>
    </row>
    <row r="342" customFormat="false" ht="15.8" hidden="false" customHeight="false" outlineLevel="0" collapsed="false">
      <c r="A342" s="4" t="s">
        <v>755</v>
      </c>
      <c r="B342" s="4" t="s">
        <v>497</v>
      </c>
      <c r="C342" s="4" t="s">
        <v>756</v>
      </c>
      <c r="D342" s="4" t="s">
        <v>121</v>
      </c>
      <c r="E342" s="4" t="n">
        <v>2011</v>
      </c>
      <c r="F342" s="4" t="s">
        <v>527</v>
      </c>
      <c r="G342" s="13" t="n">
        <v>20.3</v>
      </c>
      <c r="H342" s="4" t="s">
        <v>597</v>
      </c>
      <c r="I342" s="4" t="s">
        <v>598</v>
      </c>
      <c r="J342" s="4" t="n">
        <v>864</v>
      </c>
    </row>
    <row r="343" customFormat="false" ht="15.8" hidden="false" customHeight="false" outlineLevel="0" collapsed="false">
      <c r="A343" s="4" t="s">
        <v>755</v>
      </c>
      <c r="B343" s="4" t="s">
        <v>497</v>
      </c>
      <c r="C343" s="4" t="s">
        <v>756</v>
      </c>
      <c r="D343" s="4" t="s">
        <v>133</v>
      </c>
      <c r="E343" s="4" t="n">
        <v>2006</v>
      </c>
      <c r="F343" s="4" t="s">
        <v>538</v>
      </c>
      <c r="G343" s="13" t="n">
        <v>20.639315257732</v>
      </c>
      <c r="H343" s="4" t="s">
        <v>367</v>
      </c>
      <c r="I343" s="4" t="s">
        <v>572</v>
      </c>
      <c r="J343" s="4" t="n">
        <v>865</v>
      </c>
    </row>
    <row r="344" customFormat="false" ht="15.8" hidden="false" customHeight="false" outlineLevel="0" collapsed="false">
      <c r="A344" s="4" t="s">
        <v>755</v>
      </c>
      <c r="B344" s="4" t="s">
        <v>497</v>
      </c>
      <c r="C344" s="4" t="s">
        <v>756</v>
      </c>
      <c r="D344" s="4" t="s">
        <v>781</v>
      </c>
      <c r="E344" s="4" t="n">
        <v>2014</v>
      </c>
      <c r="F344" s="4" t="s">
        <v>527</v>
      </c>
      <c r="G344" s="13" t="n">
        <v>21</v>
      </c>
      <c r="I344" s="4" t="s">
        <v>777</v>
      </c>
      <c r="J344" s="4" t="n">
        <v>866</v>
      </c>
    </row>
    <row r="345" customFormat="false" ht="15.8" hidden="false" customHeight="false" outlineLevel="0" collapsed="false">
      <c r="A345" s="4" t="s">
        <v>755</v>
      </c>
      <c r="B345" s="4" t="s">
        <v>497</v>
      </c>
      <c r="C345" s="4" t="s">
        <v>780</v>
      </c>
      <c r="D345" s="4" t="s">
        <v>91</v>
      </c>
      <c r="E345" s="4" t="n">
        <v>2014</v>
      </c>
      <c r="F345" s="4" t="s">
        <v>544</v>
      </c>
      <c r="G345" s="13" t="n">
        <v>21.0492783505155</v>
      </c>
      <c r="H345" s="4" t="s">
        <v>586</v>
      </c>
      <c r="I345" s="4" t="s">
        <v>546</v>
      </c>
      <c r="J345" s="4" t="n">
        <v>867</v>
      </c>
    </row>
    <row r="346" customFormat="false" ht="15.8" hidden="false" customHeight="false" outlineLevel="0" collapsed="false">
      <c r="A346" s="4" t="s">
        <v>755</v>
      </c>
      <c r="B346" s="4" t="s">
        <v>497</v>
      </c>
      <c r="C346" s="4" t="s">
        <v>756</v>
      </c>
      <c r="D346" s="4" t="s">
        <v>136</v>
      </c>
      <c r="E346" s="4" t="n">
        <v>2013</v>
      </c>
      <c r="F346" s="4" t="s">
        <v>538</v>
      </c>
      <c r="G346" s="13" t="n">
        <v>21.5827338129496</v>
      </c>
      <c r="I346" s="4" t="s">
        <v>779</v>
      </c>
      <c r="J346" s="4" t="n">
        <v>868</v>
      </c>
    </row>
    <row r="347" customFormat="false" ht="15.8" hidden="false" customHeight="false" outlineLevel="0" collapsed="false">
      <c r="A347" s="4" t="s">
        <v>755</v>
      </c>
      <c r="B347" s="4" t="s">
        <v>497</v>
      </c>
      <c r="C347" s="4" t="s">
        <v>756</v>
      </c>
      <c r="D347" s="4" t="s">
        <v>153</v>
      </c>
      <c r="E347" s="4" t="n">
        <v>2014</v>
      </c>
      <c r="F347" s="4" t="s">
        <v>527</v>
      </c>
      <c r="G347" s="13" t="n">
        <v>21.6380614413336</v>
      </c>
      <c r="H347" s="4" t="s">
        <v>782</v>
      </c>
      <c r="I347" s="4" t="s">
        <v>783</v>
      </c>
      <c r="J347" s="4" t="n">
        <v>869</v>
      </c>
    </row>
    <row r="348" customFormat="false" ht="15.8" hidden="false" customHeight="false" outlineLevel="0" collapsed="false">
      <c r="A348" s="4" t="s">
        <v>755</v>
      </c>
      <c r="B348" s="4" t="s">
        <v>497</v>
      </c>
      <c r="C348" s="4" t="s">
        <v>756</v>
      </c>
      <c r="D348" s="4" t="s">
        <v>764</v>
      </c>
      <c r="E348" s="4" t="n">
        <v>2011</v>
      </c>
      <c r="F348" s="4" t="s">
        <v>527</v>
      </c>
      <c r="G348" s="13" t="n">
        <v>21.6380614413336</v>
      </c>
      <c r="H348" s="4" t="s">
        <v>784</v>
      </c>
      <c r="I348" s="4" t="s">
        <v>785</v>
      </c>
      <c r="J348" s="4" t="n">
        <v>870</v>
      </c>
    </row>
    <row r="349" customFormat="false" ht="15.8" hidden="false" customHeight="false" outlineLevel="0" collapsed="false">
      <c r="A349" s="4" t="s">
        <v>755</v>
      </c>
      <c r="B349" s="4" t="s">
        <v>497</v>
      </c>
      <c r="C349" s="4" t="s">
        <v>756</v>
      </c>
      <c r="D349" s="4" t="s">
        <v>129</v>
      </c>
      <c r="E349" s="4" t="n">
        <v>2011</v>
      </c>
      <c r="F349" s="4" t="s">
        <v>527</v>
      </c>
      <c r="G349" s="13" t="n">
        <v>21.8</v>
      </c>
      <c r="H349" s="4" t="s">
        <v>597</v>
      </c>
      <c r="I349" s="4" t="s">
        <v>598</v>
      </c>
      <c r="J349" s="4" t="n">
        <v>871</v>
      </c>
    </row>
    <row r="350" customFormat="false" ht="15.8" hidden="false" customHeight="false" outlineLevel="0" collapsed="false">
      <c r="A350" s="4" t="s">
        <v>755</v>
      </c>
      <c r="B350" s="4" t="s">
        <v>497</v>
      </c>
      <c r="C350" s="4" t="s">
        <v>756</v>
      </c>
      <c r="D350" s="4" t="s">
        <v>153</v>
      </c>
      <c r="E350" s="4" t="n">
        <v>2014</v>
      </c>
      <c r="F350" s="4" t="s">
        <v>527</v>
      </c>
      <c r="G350" s="13" t="n">
        <v>21.8443788813468</v>
      </c>
      <c r="H350" s="4" t="s">
        <v>786</v>
      </c>
      <c r="I350" s="4" t="s">
        <v>783</v>
      </c>
      <c r="J350" s="4" t="n">
        <v>872</v>
      </c>
    </row>
    <row r="351" customFormat="false" ht="15.8" hidden="false" customHeight="false" outlineLevel="0" collapsed="false">
      <c r="A351" s="4" t="s">
        <v>755</v>
      </c>
      <c r="B351" s="4" t="s">
        <v>497</v>
      </c>
      <c r="C351" s="4" t="s">
        <v>756</v>
      </c>
      <c r="D351" s="4" t="s">
        <v>764</v>
      </c>
      <c r="E351" s="4" t="n">
        <v>2011</v>
      </c>
      <c r="F351" s="4" t="s">
        <v>527</v>
      </c>
      <c r="G351" s="13" t="n">
        <v>21.8443788813468</v>
      </c>
      <c r="H351" s="4" t="s">
        <v>787</v>
      </c>
      <c r="I351" s="4" t="s">
        <v>785</v>
      </c>
      <c r="J351" s="4" t="n">
        <v>873</v>
      </c>
    </row>
    <row r="352" customFormat="false" ht="15.8" hidden="false" customHeight="false" outlineLevel="0" collapsed="false">
      <c r="A352" s="4" t="s">
        <v>755</v>
      </c>
      <c r="B352" s="4" t="s">
        <v>497</v>
      </c>
      <c r="C352" s="4" t="s">
        <v>756</v>
      </c>
      <c r="D352" s="4" t="s">
        <v>643</v>
      </c>
      <c r="E352" s="4" t="n">
        <v>2011</v>
      </c>
      <c r="F352" s="4" t="s">
        <v>527</v>
      </c>
      <c r="G352" s="13" t="n">
        <v>22</v>
      </c>
      <c r="I352" s="4" t="s">
        <v>735</v>
      </c>
      <c r="J352" s="4" t="n">
        <v>874</v>
      </c>
    </row>
    <row r="353" customFormat="false" ht="15.8" hidden="false" customHeight="false" outlineLevel="0" collapsed="false">
      <c r="A353" s="4" t="s">
        <v>755</v>
      </c>
      <c r="B353" s="4" t="s">
        <v>497</v>
      </c>
      <c r="C353" s="4" t="s">
        <v>756</v>
      </c>
      <c r="D353" s="4" t="s">
        <v>131</v>
      </c>
      <c r="E353" s="4" t="n">
        <v>2014</v>
      </c>
      <c r="F353" s="4" t="s">
        <v>527</v>
      </c>
      <c r="G353" s="13" t="n">
        <v>22</v>
      </c>
      <c r="H353" s="4" t="s">
        <v>788</v>
      </c>
      <c r="I353" s="4" t="s">
        <v>777</v>
      </c>
      <c r="J353" s="4" t="n">
        <v>875</v>
      </c>
    </row>
    <row r="354" customFormat="false" ht="15.8" hidden="false" customHeight="false" outlineLevel="0" collapsed="false">
      <c r="A354" s="4" t="s">
        <v>755</v>
      </c>
      <c r="B354" s="4" t="s">
        <v>497</v>
      </c>
      <c r="C354" s="4" t="s">
        <v>756</v>
      </c>
      <c r="D354" s="4" t="s">
        <v>789</v>
      </c>
      <c r="E354" s="4" t="n">
        <v>2010</v>
      </c>
      <c r="F354" s="4" t="s">
        <v>538</v>
      </c>
      <c r="G354" s="13" t="n">
        <v>22.0170137613733</v>
      </c>
      <c r="H354" s="4" t="s">
        <v>770</v>
      </c>
      <c r="I354" s="4" t="s">
        <v>790</v>
      </c>
      <c r="J354" s="4" t="n">
        <v>876</v>
      </c>
    </row>
    <row r="355" customFormat="false" ht="15.8" hidden="false" customHeight="false" outlineLevel="0" collapsed="false">
      <c r="A355" s="4" t="s">
        <v>755</v>
      </c>
      <c r="B355" s="4" t="s">
        <v>497</v>
      </c>
      <c r="C355" s="4" t="s">
        <v>756</v>
      </c>
      <c r="D355" s="4" t="s">
        <v>153</v>
      </c>
      <c r="E355" s="4" t="n">
        <v>2014</v>
      </c>
      <c r="F355" s="4" t="s">
        <v>527</v>
      </c>
      <c r="G355" s="13" t="n">
        <v>22.2570137613733</v>
      </c>
      <c r="H355" s="4" t="s">
        <v>791</v>
      </c>
      <c r="I355" s="4" t="s">
        <v>783</v>
      </c>
      <c r="J355" s="4" t="n">
        <v>877</v>
      </c>
    </row>
    <row r="356" customFormat="false" ht="15.8" hidden="false" customHeight="false" outlineLevel="0" collapsed="false">
      <c r="A356" s="4" t="s">
        <v>755</v>
      </c>
      <c r="B356" s="4" t="s">
        <v>497</v>
      </c>
      <c r="C356" s="4" t="s">
        <v>756</v>
      </c>
      <c r="D356" s="4" t="s">
        <v>764</v>
      </c>
      <c r="E356" s="4" t="n">
        <v>2011</v>
      </c>
      <c r="F356" s="4" t="s">
        <v>527</v>
      </c>
      <c r="G356" s="13" t="n">
        <v>22.2570137613733</v>
      </c>
      <c r="H356" s="4" t="s">
        <v>792</v>
      </c>
      <c r="I356" s="4" t="s">
        <v>785</v>
      </c>
      <c r="J356" s="4" t="n">
        <v>878</v>
      </c>
    </row>
    <row r="357" customFormat="false" ht="15.8" hidden="false" customHeight="false" outlineLevel="0" collapsed="false">
      <c r="A357" s="4" t="s">
        <v>755</v>
      </c>
      <c r="B357" s="4" t="s">
        <v>497</v>
      </c>
      <c r="C357" s="4" t="s">
        <v>756</v>
      </c>
      <c r="D357" s="4" t="s">
        <v>477</v>
      </c>
      <c r="E357" s="4" t="n">
        <v>2012</v>
      </c>
      <c r="F357" s="4" t="s">
        <v>527</v>
      </c>
      <c r="G357" s="13" t="n">
        <v>22.298273381295</v>
      </c>
      <c r="H357" s="4" t="s">
        <v>793</v>
      </c>
      <c r="I357" s="4" t="s">
        <v>794</v>
      </c>
      <c r="J357" s="4" t="n">
        <v>879</v>
      </c>
    </row>
    <row r="358" customFormat="false" ht="15.8" hidden="false" customHeight="false" outlineLevel="0" collapsed="false">
      <c r="A358" s="4" t="s">
        <v>755</v>
      </c>
      <c r="B358" s="4" t="s">
        <v>497</v>
      </c>
      <c r="C358" s="4" t="s">
        <v>756</v>
      </c>
      <c r="D358" s="4" t="s">
        <v>119</v>
      </c>
      <c r="E358" s="4" t="n">
        <v>2013</v>
      </c>
      <c r="F358" s="4" t="s">
        <v>601</v>
      </c>
      <c r="G358" s="13" t="n">
        <v>22.3</v>
      </c>
      <c r="H358" s="4" t="s">
        <v>795</v>
      </c>
      <c r="I358" s="4" t="s">
        <v>758</v>
      </c>
      <c r="J358" s="4" t="n">
        <v>880</v>
      </c>
    </row>
    <row r="359" customFormat="false" ht="15.8" hidden="false" customHeight="false" outlineLevel="0" collapsed="false">
      <c r="A359" s="4" t="s">
        <v>755</v>
      </c>
      <c r="B359" s="4" t="s">
        <v>497</v>
      </c>
      <c r="C359" s="4" t="s">
        <v>756</v>
      </c>
      <c r="D359" s="4" t="s">
        <v>131</v>
      </c>
      <c r="E359" s="4" t="n">
        <v>2003</v>
      </c>
      <c r="F359" s="4" t="s">
        <v>527</v>
      </c>
      <c r="G359" s="13" t="n">
        <v>22.44</v>
      </c>
      <c r="H359" s="4" t="s">
        <v>547</v>
      </c>
      <c r="I359" s="4" t="s">
        <v>614</v>
      </c>
      <c r="J359" s="4" t="n">
        <v>881</v>
      </c>
    </row>
    <row r="360" customFormat="false" ht="15.8" hidden="false" customHeight="false" outlineLevel="0" collapsed="false">
      <c r="A360" s="4" t="s">
        <v>755</v>
      </c>
      <c r="B360" s="4" t="s">
        <v>497</v>
      </c>
      <c r="C360" s="4" t="s">
        <v>756</v>
      </c>
      <c r="D360" s="4" t="s">
        <v>764</v>
      </c>
      <c r="E360" s="4" t="n">
        <v>2011</v>
      </c>
      <c r="F360" s="4" t="s">
        <v>527</v>
      </c>
      <c r="G360" s="13" t="n">
        <v>22.6696486413997</v>
      </c>
      <c r="H360" s="4" t="s">
        <v>796</v>
      </c>
      <c r="I360" s="4" t="s">
        <v>785</v>
      </c>
      <c r="J360" s="4" t="n">
        <v>882</v>
      </c>
    </row>
    <row r="361" customFormat="false" ht="15.8" hidden="false" customHeight="false" outlineLevel="0" collapsed="false">
      <c r="A361" s="4" t="s">
        <v>755</v>
      </c>
      <c r="B361" s="4" t="s">
        <v>497</v>
      </c>
      <c r="C361" s="4" t="s">
        <v>756</v>
      </c>
      <c r="D361" s="4" t="s">
        <v>133</v>
      </c>
      <c r="E361" s="4" t="n">
        <v>2012</v>
      </c>
      <c r="F361" s="4" t="s">
        <v>544</v>
      </c>
      <c r="G361" s="13" t="n">
        <v>23.0176978417266</v>
      </c>
      <c r="H361" s="4" t="s">
        <v>797</v>
      </c>
      <c r="I361" s="4" t="s">
        <v>591</v>
      </c>
      <c r="J361" s="4" t="n">
        <v>883</v>
      </c>
    </row>
    <row r="362" customFormat="false" ht="15.8" hidden="false" customHeight="false" outlineLevel="0" collapsed="false">
      <c r="A362" s="4" t="s">
        <v>755</v>
      </c>
      <c r="B362" s="4" t="s">
        <v>497</v>
      </c>
      <c r="C362" s="4" t="s">
        <v>756</v>
      </c>
      <c r="D362" s="4" t="s">
        <v>101</v>
      </c>
      <c r="E362" s="4" t="n">
        <v>2014</v>
      </c>
      <c r="F362" s="4" t="s">
        <v>544</v>
      </c>
      <c r="G362" s="13" t="n">
        <v>23.0176978417266</v>
      </c>
      <c r="H362" s="4" t="s">
        <v>798</v>
      </c>
      <c r="I362" s="4" t="s">
        <v>799</v>
      </c>
      <c r="J362" s="4" t="n">
        <v>884</v>
      </c>
    </row>
    <row r="363" customFormat="false" ht="15.8" hidden="false" customHeight="false" outlineLevel="0" collapsed="false">
      <c r="A363" s="4" t="s">
        <v>755</v>
      </c>
      <c r="B363" s="4" t="s">
        <v>497</v>
      </c>
      <c r="C363" s="4" t="s">
        <v>756</v>
      </c>
      <c r="D363" s="4" t="s">
        <v>134</v>
      </c>
      <c r="E363" s="4" t="n">
        <v>2010</v>
      </c>
      <c r="F363" s="4" t="s">
        <v>527</v>
      </c>
      <c r="G363" s="13" t="n">
        <v>23.021582733813</v>
      </c>
      <c r="H363" s="4" t="s">
        <v>800</v>
      </c>
      <c r="I363" s="4" t="s">
        <v>801</v>
      </c>
      <c r="J363" s="4" t="n">
        <v>885</v>
      </c>
    </row>
    <row r="364" customFormat="false" ht="15.8" hidden="false" customHeight="false" outlineLevel="0" collapsed="false">
      <c r="A364" s="4" t="s">
        <v>755</v>
      </c>
      <c r="B364" s="4" t="s">
        <v>497</v>
      </c>
      <c r="C364" s="4" t="s">
        <v>756</v>
      </c>
      <c r="D364" s="4" t="s">
        <v>153</v>
      </c>
      <c r="E364" s="4" t="n">
        <v>2014</v>
      </c>
      <c r="F364" s="4" t="s">
        <v>527</v>
      </c>
      <c r="G364" s="13" t="n">
        <v>23.0822835214261</v>
      </c>
      <c r="H364" s="4" t="s">
        <v>802</v>
      </c>
      <c r="I364" s="4" t="s">
        <v>783</v>
      </c>
      <c r="J364" s="4" t="n">
        <v>886</v>
      </c>
    </row>
    <row r="365" customFormat="false" ht="15.8" hidden="false" customHeight="false" outlineLevel="0" collapsed="false">
      <c r="A365" s="4" t="s">
        <v>755</v>
      </c>
      <c r="B365" s="4" t="s">
        <v>497</v>
      </c>
      <c r="C365" s="4" t="s">
        <v>756</v>
      </c>
      <c r="D365" s="4" t="s">
        <v>153</v>
      </c>
      <c r="E365" s="4" t="n">
        <v>2015</v>
      </c>
      <c r="F365" s="4" t="s">
        <v>527</v>
      </c>
      <c r="G365" s="13" t="n">
        <v>23.0822835214261</v>
      </c>
      <c r="H365" s="4" t="s">
        <v>803</v>
      </c>
      <c r="I365" s="4" t="s">
        <v>783</v>
      </c>
      <c r="J365" s="4" t="n">
        <v>887</v>
      </c>
    </row>
    <row r="366" customFormat="false" ht="15.8" hidden="false" customHeight="false" outlineLevel="0" collapsed="false">
      <c r="A366" s="4" t="s">
        <v>755</v>
      </c>
      <c r="B366" s="4" t="s">
        <v>497</v>
      </c>
      <c r="C366" s="4" t="s">
        <v>756</v>
      </c>
      <c r="D366" s="4" t="s">
        <v>764</v>
      </c>
      <c r="E366" s="4" t="n">
        <v>2011</v>
      </c>
      <c r="F366" s="4" t="s">
        <v>527</v>
      </c>
      <c r="G366" s="13" t="n">
        <v>23.0822835214261</v>
      </c>
      <c r="H366" s="4" t="s">
        <v>804</v>
      </c>
      <c r="I366" s="4" t="s">
        <v>785</v>
      </c>
      <c r="J366" s="4" t="n">
        <v>888</v>
      </c>
    </row>
    <row r="367" customFormat="false" ht="15.8" hidden="false" customHeight="false" outlineLevel="0" collapsed="false">
      <c r="A367" s="4" t="s">
        <v>755</v>
      </c>
      <c r="B367" s="4" t="s">
        <v>497</v>
      </c>
      <c r="C367" s="4" t="s">
        <v>756</v>
      </c>
      <c r="D367" s="4" t="s">
        <v>102</v>
      </c>
      <c r="E367" s="4" t="n">
        <v>2013</v>
      </c>
      <c r="F367" s="4" t="s">
        <v>601</v>
      </c>
      <c r="G367" s="13" t="n">
        <v>23.1</v>
      </c>
      <c r="I367" s="4" t="s">
        <v>758</v>
      </c>
      <c r="J367" s="4" t="n">
        <v>889</v>
      </c>
    </row>
    <row r="368" customFormat="false" ht="15.8" hidden="false" customHeight="false" outlineLevel="0" collapsed="false">
      <c r="A368" s="4" t="s">
        <v>755</v>
      </c>
      <c r="B368" s="4" t="s">
        <v>497</v>
      </c>
      <c r="C368" s="4" t="s">
        <v>756</v>
      </c>
      <c r="D368" s="4" t="s">
        <v>477</v>
      </c>
      <c r="E368" s="4" t="n">
        <v>2013</v>
      </c>
      <c r="F368" s="4" t="s">
        <v>601</v>
      </c>
      <c r="G368" s="13" t="n">
        <v>23.1</v>
      </c>
      <c r="H368" s="4" t="s">
        <v>554</v>
      </c>
      <c r="I368" s="4" t="s">
        <v>758</v>
      </c>
      <c r="J368" s="4" t="n">
        <v>890</v>
      </c>
    </row>
    <row r="369" customFormat="false" ht="15.8" hidden="false" customHeight="false" outlineLevel="0" collapsed="false">
      <c r="A369" s="4" t="s">
        <v>755</v>
      </c>
      <c r="B369" s="4" t="s">
        <v>497</v>
      </c>
      <c r="C369" s="4" t="s">
        <v>756</v>
      </c>
      <c r="D369" s="4" t="s">
        <v>104</v>
      </c>
      <c r="E369" s="4" t="n">
        <v>2011</v>
      </c>
      <c r="F369" s="4" t="s">
        <v>527</v>
      </c>
      <c r="G369" s="13" t="n">
        <v>23.3</v>
      </c>
      <c r="H369" s="4" t="s">
        <v>597</v>
      </c>
      <c r="I369" s="4" t="s">
        <v>598</v>
      </c>
      <c r="J369" s="4" t="n">
        <v>891</v>
      </c>
    </row>
    <row r="370" customFormat="false" ht="15.8" hidden="false" customHeight="false" outlineLevel="0" collapsed="false">
      <c r="A370" s="4" t="s">
        <v>755</v>
      </c>
      <c r="B370" s="4" t="s">
        <v>497</v>
      </c>
      <c r="C370" s="4" t="s">
        <v>756</v>
      </c>
      <c r="D370" s="4" t="s">
        <v>477</v>
      </c>
      <c r="E370" s="4" t="n">
        <v>2013</v>
      </c>
      <c r="F370" s="4" t="s">
        <v>527</v>
      </c>
      <c r="G370" s="13" t="n">
        <v>23.41</v>
      </c>
      <c r="I370" s="4" t="s">
        <v>569</v>
      </c>
      <c r="J370" s="4" t="n">
        <v>892</v>
      </c>
    </row>
    <row r="371" customFormat="false" ht="15.8" hidden="false" customHeight="false" outlineLevel="0" collapsed="false">
      <c r="A371" s="4" t="s">
        <v>755</v>
      </c>
      <c r="B371" s="4" t="s">
        <v>497</v>
      </c>
      <c r="C371" s="4" t="s">
        <v>756</v>
      </c>
      <c r="D371" s="4" t="s">
        <v>128</v>
      </c>
      <c r="E371" s="4" t="n">
        <v>2011</v>
      </c>
      <c r="F371" s="4" t="s">
        <v>527</v>
      </c>
      <c r="G371" s="13" t="n">
        <v>23.6</v>
      </c>
      <c r="H371" s="4" t="s">
        <v>597</v>
      </c>
      <c r="I371" s="4" t="s">
        <v>598</v>
      </c>
      <c r="J371" s="4" t="n">
        <v>893</v>
      </c>
    </row>
    <row r="372" customFormat="false" ht="15.8" hidden="false" customHeight="false" outlineLevel="0" collapsed="false">
      <c r="A372" s="4" t="s">
        <v>755</v>
      </c>
      <c r="B372" s="4" t="s">
        <v>497</v>
      </c>
      <c r="C372" s="4" t="s">
        <v>756</v>
      </c>
      <c r="D372" s="4" t="s">
        <v>109</v>
      </c>
      <c r="E372" s="4" t="n">
        <v>2011</v>
      </c>
      <c r="F372" s="4" t="s">
        <v>527</v>
      </c>
      <c r="G372" s="13" t="n">
        <v>23.8</v>
      </c>
      <c r="H372" s="4" t="s">
        <v>597</v>
      </c>
      <c r="I372" s="4" t="s">
        <v>598</v>
      </c>
      <c r="J372" s="4" t="n">
        <v>894</v>
      </c>
    </row>
    <row r="373" customFormat="false" ht="15.8" hidden="false" customHeight="false" outlineLevel="0" collapsed="false">
      <c r="A373" s="4" t="s">
        <v>755</v>
      </c>
      <c r="B373" s="4" t="s">
        <v>497</v>
      </c>
      <c r="C373" s="4" t="s">
        <v>756</v>
      </c>
      <c r="D373" s="4" t="s">
        <v>91</v>
      </c>
      <c r="E373" s="4" t="n">
        <v>2011</v>
      </c>
      <c r="F373" s="4" t="s">
        <v>527</v>
      </c>
      <c r="G373" s="13" t="n">
        <v>23.8</v>
      </c>
      <c r="H373" s="4" t="s">
        <v>597</v>
      </c>
      <c r="I373" s="4" t="s">
        <v>598</v>
      </c>
      <c r="J373" s="4" t="n">
        <v>895</v>
      </c>
    </row>
    <row r="374" customFormat="false" ht="15.8" hidden="false" customHeight="false" outlineLevel="0" collapsed="false">
      <c r="A374" s="4" t="s">
        <v>755</v>
      </c>
      <c r="B374" s="4" t="s">
        <v>497</v>
      </c>
      <c r="C374" s="4" t="s">
        <v>756</v>
      </c>
      <c r="D374" s="4" t="s">
        <v>120</v>
      </c>
      <c r="E374" s="4" t="n">
        <v>2011</v>
      </c>
      <c r="F374" s="4" t="s">
        <v>527</v>
      </c>
      <c r="G374" s="13" t="n">
        <v>23.8</v>
      </c>
      <c r="H374" s="4" t="s">
        <v>597</v>
      </c>
      <c r="I374" s="4" t="s">
        <v>598</v>
      </c>
      <c r="J374" s="4" t="n">
        <v>896</v>
      </c>
    </row>
    <row r="375" customFormat="false" ht="15.8" hidden="false" customHeight="false" outlineLevel="0" collapsed="false">
      <c r="A375" s="4" t="s">
        <v>755</v>
      </c>
      <c r="B375" s="4" t="s">
        <v>497</v>
      </c>
      <c r="C375" s="4" t="s">
        <v>756</v>
      </c>
      <c r="D375" s="4" t="s">
        <v>101</v>
      </c>
      <c r="E375" s="4" t="n">
        <v>2014</v>
      </c>
      <c r="F375" s="4" t="s">
        <v>544</v>
      </c>
      <c r="G375" s="13" t="n">
        <v>24.0248920863309</v>
      </c>
      <c r="H375" s="4" t="s">
        <v>805</v>
      </c>
      <c r="I375" s="4" t="s">
        <v>799</v>
      </c>
      <c r="J375" s="4" t="n">
        <v>897</v>
      </c>
    </row>
    <row r="376" customFormat="false" ht="15.8" hidden="false" customHeight="false" outlineLevel="0" collapsed="false">
      <c r="A376" s="4" t="s">
        <v>755</v>
      </c>
      <c r="B376" s="4" t="s">
        <v>497</v>
      </c>
      <c r="C376" s="4" t="s">
        <v>780</v>
      </c>
      <c r="D376" s="4" t="s">
        <v>91</v>
      </c>
      <c r="E376" s="4" t="n">
        <v>2014</v>
      </c>
      <c r="F376" s="4" t="s">
        <v>544</v>
      </c>
      <c r="G376" s="13" t="n">
        <v>24.038969072165</v>
      </c>
      <c r="H376" s="4" t="s">
        <v>806</v>
      </c>
      <c r="I376" s="4" t="s">
        <v>546</v>
      </c>
      <c r="J376" s="4" t="n">
        <v>898</v>
      </c>
    </row>
    <row r="377" customFormat="false" ht="15.8" hidden="false" customHeight="false" outlineLevel="0" collapsed="false">
      <c r="A377" s="4" t="s">
        <v>755</v>
      </c>
      <c r="B377" s="4" t="s">
        <v>497</v>
      </c>
      <c r="C377" s="4" t="s">
        <v>756</v>
      </c>
      <c r="D377" s="4" t="s">
        <v>133</v>
      </c>
      <c r="E377" s="4" t="n">
        <v>2010</v>
      </c>
      <c r="F377" s="4" t="s">
        <v>601</v>
      </c>
      <c r="G377" s="13" t="n">
        <v>24.06</v>
      </c>
      <c r="H377" s="4" t="s">
        <v>807</v>
      </c>
      <c r="I377" s="4" t="s">
        <v>808</v>
      </c>
      <c r="J377" s="4" t="n">
        <v>899</v>
      </c>
    </row>
    <row r="378" customFormat="false" ht="15.8" hidden="false" customHeight="false" outlineLevel="0" collapsed="false">
      <c r="A378" s="4" t="s">
        <v>755</v>
      </c>
      <c r="B378" s="4" t="s">
        <v>497</v>
      </c>
      <c r="C378" s="4" t="s">
        <v>780</v>
      </c>
      <c r="D378" s="4" t="s">
        <v>91</v>
      </c>
      <c r="E378" s="4" t="n">
        <v>2014</v>
      </c>
      <c r="F378" s="4" t="s">
        <v>544</v>
      </c>
      <c r="G378" s="13" t="n">
        <v>24.2451546391753</v>
      </c>
      <c r="H378" s="4" t="s">
        <v>806</v>
      </c>
      <c r="I378" s="4" t="s">
        <v>546</v>
      </c>
      <c r="J378" s="4" t="n">
        <v>900</v>
      </c>
    </row>
    <row r="379" customFormat="false" ht="15.8" hidden="false" customHeight="false" outlineLevel="0" collapsed="false">
      <c r="A379" s="4" t="s">
        <v>755</v>
      </c>
      <c r="B379" s="4" t="s">
        <v>497</v>
      </c>
      <c r="C379" s="4" t="s">
        <v>756</v>
      </c>
      <c r="D379" s="4" t="s">
        <v>95</v>
      </c>
      <c r="E379" s="4" t="n">
        <v>2011</v>
      </c>
      <c r="F379" s="4" t="s">
        <v>527</v>
      </c>
      <c r="G379" s="13" t="n">
        <v>24.3</v>
      </c>
      <c r="H379" s="4" t="s">
        <v>597</v>
      </c>
      <c r="I379" s="4" t="s">
        <v>598</v>
      </c>
      <c r="J379" s="4" t="n">
        <v>901</v>
      </c>
    </row>
    <row r="380" customFormat="false" ht="15.8" hidden="false" customHeight="false" outlineLevel="0" collapsed="false">
      <c r="A380" s="4" t="s">
        <v>755</v>
      </c>
      <c r="B380" s="4" t="s">
        <v>497</v>
      </c>
      <c r="C380" s="4" t="s">
        <v>756</v>
      </c>
      <c r="D380" s="4" t="s">
        <v>124</v>
      </c>
      <c r="E380" s="4" t="n">
        <v>2012</v>
      </c>
      <c r="F380" s="4" t="s">
        <v>527</v>
      </c>
      <c r="G380" s="13" t="n">
        <v>24.3126618705036</v>
      </c>
      <c r="I380" s="4" t="s">
        <v>694</v>
      </c>
      <c r="J380" s="4" t="n">
        <v>902</v>
      </c>
    </row>
    <row r="381" customFormat="false" ht="15.8" hidden="false" customHeight="false" outlineLevel="0" collapsed="false">
      <c r="A381" s="4" t="s">
        <v>755</v>
      </c>
      <c r="B381" s="4" t="s">
        <v>497</v>
      </c>
      <c r="C381" s="4" t="s">
        <v>761</v>
      </c>
      <c r="D381" s="4" t="s">
        <v>153</v>
      </c>
      <c r="E381" s="4" t="n">
        <v>2014</v>
      </c>
      <c r="F381" s="4" t="s">
        <v>544</v>
      </c>
      <c r="G381" s="13" t="n">
        <v>24.35</v>
      </c>
      <c r="H381" s="4" t="s">
        <v>809</v>
      </c>
      <c r="I381" s="4" t="s">
        <v>763</v>
      </c>
      <c r="J381" s="4" t="n">
        <v>903</v>
      </c>
    </row>
    <row r="382" customFormat="false" ht="15.8" hidden="false" customHeight="false" outlineLevel="0" collapsed="false">
      <c r="A382" s="4" t="s">
        <v>755</v>
      </c>
      <c r="B382" s="4" t="s">
        <v>497</v>
      </c>
      <c r="C382" s="4" t="s">
        <v>756</v>
      </c>
      <c r="D382" s="4" t="s">
        <v>153</v>
      </c>
      <c r="E382" s="4" t="n">
        <v>2011</v>
      </c>
      <c r="F382" s="4" t="s">
        <v>527</v>
      </c>
      <c r="G382" s="13" t="n">
        <v>24.4928230415317</v>
      </c>
      <c r="H382" s="4" t="s">
        <v>810</v>
      </c>
      <c r="I382" s="4" t="s">
        <v>811</v>
      </c>
      <c r="J382" s="4" t="n">
        <v>904</v>
      </c>
    </row>
    <row r="383" customFormat="false" ht="15.8" hidden="false" customHeight="false" outlineLevel="0" collapsed="false">
      <c r="A383" s="4" t="s">
        <v>755</v>
      </c>
      <c r="B383" s="4" t="s">
        <v>497</v>
      </c>
      <c r="C383" s="4" t="s">
        <v>756</v>
      </c>
      <c r="D383" s="4" t="s">
        <v>102</v>
      </c>
      <c r="E383" s="4" t="n">
        <v>2013</v>
      </c>
      <c r="F383" s="4" t="s">
        <v>601</v>
      </c>
      <c r="G383" s="13" t="n">
        <v>24.7</v>
      </c>
      <c r="H383" s="4" t="s">
        <v>812</v>
      </c>
      <c r="I383" s="4" t="s">
        <v>758</v>
      </c>
      <c r="J383" s="4" t="n">
        <v>905</v>
      </c>
    </row>
    <row r="384" customFormat="false" ht="15.8" hidden="false" customHeight="false" outlineLevel="0" collapsed="false">
      <c r="A384" s="4" t="s">
        <v>755</v>
      </c>
      <c r="B384" s="4" t="s">
        <v>497</v>
      </c>
      <c r="C384" s="4" t="s">
        <v>756</v>
      </c>
      <c r="D384" s="4" t="s">
        <v>813</v>
      </c>
      <c r="E384" s="4" t="n">
        <v>2012</v>
      </c>
      <c r="F384" s="4" t="s">
        <v>527</v>
      </c>
      <c r="G384" s="13" t="n">
        <v>24.9601438848921</v>
      </c>
      <c r="H384" s="4" t="s">
        <v>814</v>
      </c>
      <c r="I384" s="4" t="s">
        <v>648</v>
      </c>
      <c r="J384" s="4" t="n">
        <v>906</v>
      </c>
    </row>
    <row r="385" customFormat="false" ht="15.8" hidden="false" customHeight="false" outlineLevel="0" collapsed="false">
      <c r="A385" s="4" t="s">
        <v>755</v>
      </c>
      <c r="B385" s="4" t="s">
        <v>497</v>
      </c>
      <c r="C385" s="4" t="s">
        <v>756</v>
      </c>
      <c r="D385" s="4" t="s">
        <v>815</v>
      </c>
      <c r="E385" s="4" t="n">
        <v>2014</v>
      </c>
      <c r="F385" s="4" t="s">
        <v>527</v>
      </c>
      <c r="G385" s="13" t="n">
        <v>25</v>
      </c>
      <c r="H385" s="4" t="s">
        <v>816</v>
      </c>
      <c r="I385" s="4" t="s">
        <v>777</v>
      </c>
      <c r="J385" s="4" t="n">
        <v>907</v>
      </c>
    </row>
    <row r="386" customFormat="false" ht="15.8" hidden="false" customHeight="false" outlineLevel="0" collapsed="false">
      <c r="A386" s="4" t="s">
        <v>755</v>
      </c>
      <c r="B386" s="4" t="s">
        <v>497</v>
      </c>
      <c r="C386" s="4" t="s">
        <v>756</v>
      </c>
      <c r="D386" s="4" t="s">
        <v>153</v>
      </c>
      <c r="E386" s="4" t="n">
        <v>2011</v>
      </c>
      <c r="F386" s="4" t="s">
        <v>544</v>
      </c>
      <c r="G386" s="13" t="n">
        <v>25.2</v>
      </c>
      <c r="I386" s="4" t="s">
        <v>817</v>
      </c>
      <c r="J386" s="4" t="n">
        <v>908</v>
      </c>
    </row>
    <row r="387" customFormat="false" ht="15.8" hidden="false" customHeight="false" outlineLevel="0" collapsed="false">
      <c r="A387" s="4" t="s">
        <v>755</v>
      </c>
      <c r="B387" s="4" t="s">
        <v>497</v>
      </c>
      <c r="C387" s="4" t="s">
        <v>756</v>
      </c>
      <c r="D387" s="4" t="s">
        <v>664</v>
      </c>
      <c r="E387" s="4" t="n">
        <v>2012</v>
      </c>
      <c r="F387" s="4" t="s">
        <v>527</v>
      </c>
      <c r="G387" s="13" t="n">
        <v>25.4</v>
      </c>
      <c r="I387" s="4" t="s">
        <v>818</v>
      </c>
      <c r="J387" s="4" t="n">
        <v>909</v>
      </c>
    </row>
    <row r="388" customFormat="false" ht="15.8" hidden="false" customHeight="false" outlineLevel="0" collapsed="false">
      <c r="A388" s="4" t="s">
        <v>755</v>
      </c>
      <c r="B388" s="4" t="s">
        <v>497</v>
      </c>
      <c r="C388" s="4" t="s">
        <v>756</v>
      </c>
      <c r="D388" s="4" t="s">
        <v>124</v>
      </c>
      <c r="E388" s="4" t="n">
        <v>2013</v>
      </c>
      <c r="F388" s="4" t="s">
        <v>527</v>
      </c>
      <c r="G388" s="13" t="n">
        <v>25.6076258992806</v>
      </c>
      <c r="I388" s="4" t="s">
        <v>819</v>
      </c>
      <c r="J388" s="4" t="n">
        <v>910</v>
      </c>
    </row>
    <row r="389" customFormat="false" ht="15.8" hidden="false" customHeight="false" outlineLevel="0" collapsed="false">
      <c r="A389" s="4" t="s">
        <v>755</v>
      </c>
      <c r="B389" s="4" t="s">
        <v>497</v>
      </c>
      <c r="C389" s="4" t="s">
        <v>756</v>
      </c>
      <c r="D389" s="4" t="s">
        <v>820</v>
      </c>
      <c r="E389" s="4" t="n">
        <v>2012</v>
      </c>
      <c r="F389" s="4" t="s">
        <v>527</v>
      </c>
      <c r="G389" s="13" t="n">
        <v>25.6076258992806</v>
      </c>
      <c r="H389" s="4" t="s">
        <v>821</v>
      </c>
      <c r="I389" s="4" t="s">
        <v>794</v>
      </c>
      <c r="J389" s="4" t="n">
        <v>911</v>
      </c>
    </row>
    <row r="390" customFormat="false" ht="15.8" hidden="false" customHeight="false" outlineLevel="0" collapsed="false">
      <c r="A390" s="4" t="s">
        <v>755</v>
      </c>
      <c r="B390" s="4" t="s">
        <v>497</v>
      </c>
      <c r="C390" s="4" t="s">
        <v>756</v>
      </c>
      <c r="D390" s="4" t="s">
        <v>133</v>
      </c>
      <c r="E390" s="4" t="n">
        <v>2014</v>
      </c>
      <c r="F390" s="4" t="s">
        <v>544</v>
      </c>
      <c r="G390" s="13" t="n">
        <v>25.7515107913669</v>
      </c>
      <c r="I390" s="4" t="s">
        <v>822</v>
      </c>
      <c r="J390" s="4" t="n">
        <v>912</v>
      </c>
    </row>
    <row r="391" customFormat="false" ht="15.8" hidden="false" customHeight="false" outlineLevel="0" collapsed="false">
      <c r="A391" s="4" t="s">
        <v>755</v>
      </c>
      <c r="B391" s="4" t="s">
        <v>497</v>
      </c>
      <c r="C391" s="4" t="s">
        <v>756</v>
      </c>
      <c r="D391" s="4" t="s">
        <v>134</v>
      </c>
      <c r="E391" s="4" t="n">
        <v>2011</v>
      </c>
      <c r="F391" s="4" t="s">
        <v>527</v>
      </c>
      <c r="G391" s="13" t="n">
        <v>25.7553956834532</v>
      </c>
      <c r="H391" s="4" t="s">
        <v>823</v>
      </c>
      <c r="I391" s="4" t="s">
        <v>801</v>
      </c>
      <c r="J391" s="4" t="n">
        <v>913</v>
      </c>
    </row>
    <row r="392" customFormat="false" ht="15.8" hidden="false" customHeight="false" outlineLevel="0" collapsed="false">
      <c r="A392" s="4" t="s">
        <v>755</v>
      </c>
      <c r="B392" s="4" t="s">
        <v>497</v>
      </c>
      <c r="C392" s="4" t="s">
        <v>756</v>
      </c>
      <c r="D392" s="4" t="s">
        <v>107</v>
      </c>
      <c r="E392" s="4" t="n">
        <v>2011</v>
      </c>
      <c r="F392" s="4" t="s">
        <v>527</v>
      </c>
      <c r="G392" s="13" t="n">
        <v>25.8</v>
      </c>
      <c r="H392" s="4" t="s">
        <v>597</v>
      </c>
      <c r="I392" s="4" t="s">
        <v>598</v>
      </c>
      <c r="J392" s="4" t="n">
        <v>914</v>
      </c>
    </row>
    <row r="393" customFormat="false" ht="15.8" hidden="false" customHeight="false" outlineLevel="0" collapsed="false">
      <c r="A393" s="4" t="s">
        <v>755</v>
      </c>
      <c r="B393" s="4" t="s">
        <v>497</v>
      </c>
      <c r="C393" s="4" t="s">
        <v>756</v>
      </c>
      <c r="D393" s="4" t="s">
        <v>824</v>
      </c>
      <c r="E393" s="4" t="n">
        <v>2012</v>
      </c>
      <c r="F393" s="4" t="s">
        <v>544</v>
      </c>
      <c r="G393" s="13" t="n">
        <v>26</v>
      </c>
      <c r="I393" s="4" t="s">
        <v>825</v>
      </c>
      <c r="J393" s="4" t="n">
        <v>915</v>
      </c>
    </row>
    <row r="394" customFormat="false" ht="15.8" hidden="false" customHeight="false" outlineLevel="0" collapsed="false">
      <c r="A394" s="4" t="s">
        <v>755</v>
      </c>
      <c r="B394" s="4" t="s">
        <v>497</v>
      </c>
      <c r="C394" s="4" t="s">
        <v>761</v>
      </c>
      <c r="D394" s="4" t="s">
        <v>153</v>
      </c>
      <c r="E394" s="4" t="n">
        <v>2014</v>
      </c>
      <c r="F394" s="4" t="s">
        <v>544</v>
      </c>
      <c r="G394" s="13" t="n">
        <v>26.05</v>
      </c>
      <c r="H394" s="4" t="s">
        <v>826</v>
      </c>
      <c r="I394" s="4" t="s">
        <v>763</v>
      </c>
      <c r="J394" s="4" t="n">
        <v>916</v>
      </c>
    </row>
    <row r="395" customFormat="false" ht="15.8" hidden="false" customHeight="false" outlineLevel="0" collapsed="false">
      <c r="A395" s="4" t="s">
        <v>755</v>
      </c>
      <c r="B395" s="4" t="s">
        <v>497</v>
      </c>
      <c r="C395" s="4" t="s">
        <v>756</v>
      </c>
      <c r="D395" s="4" t="s">
        <v>133</v>
      </c>
      <c r="E395" s="4" t="n">
        <v>2011</v>
      </c>
      <c r="F395" s="4" t="s">
        <v>527</v>
      </c>
      <c r="G395" s="13" t="n">
        <v>26.3</v>
      </c>
      <c r="H395" s="4" t="s">
        <v>770</v>
      </c>
      <c r="I395" s="4" t="s">
        <v>598</v>
      </c>
      <c r="J395" s="4" t="n">
        <v>917</v>
      </c>
    </row>
    <row r="396" customFormat="false" ht="15.8" hidden="false" customHeight="false" outlineLevel="0" collapsed="false">
      <c r="A396" s="4" t="s">
        <v>755</v>
      </c>
      <c r="B396" s="4" t="s">
        <v>497</v>
      </c>
      <c r="C396" s="4" t="s">
        <v>756</v>
      </c>
      <c r="D396" s="4" t="s">
        <v>133</v>
      </c>
      <c r="E396" s="4" t="n">
        <v>2014</v>
      </c>
      <c r="F396" s="4" t="s">
        <v>544</v>
      </c>
      <c r="G396" s="13" t="n">
        <v>26.3270503597122</v>
      </c>
      <c r="I396" s="4" t="s">
        <v>822</v>
      </c>
      <c r="J396" s="4" t="n">
        <v>918</v>
      </c>
    </row>
    <row r="397" customFormat="false" ht="15.8" hidden="false" customHeight="false" outlineLevel="0" collapsed="false">
      <c r="A397" s="4" t="s">
        <v>755</v>
      </c>
      <c r="B397" s="4" t="s">
        <v>497</v>
      </c>
      <c r="C397" s="4" t="s">
        <v>756</v>
      </c>
      <c r="D397" s="4" t="s">
        <v>124</v>
      </c>
      <c r="E397" s="4" t="n">
        <v>2013</v>
      </c>
      <c r="F397" s="4" t="s">
        <v>527</v>
      </c>
      <c r="G397" s="13" t="n">
        <v>26.6148201438849</v>
      </c>
      <c r="I397" s="4" t="s">
        <v>819</v>
      </c>
      <c r="J397" s="4" t="n">
        <v>919</v>
      </c>
    </row>
    <row r="398" customFormat="false" ht="15.8" hidden="false" customHeight="false" outlineLevel="0" collapsed="false">
      <c r="A398" s="4" t="s">
        <v>755</v>
      </c>
      <c r="B398" s="4" t="s">
        <v>497</v>
      </c>
      <c r="C398" s="4" t="s">
        <v>756</v>
      </c>
      <c r="D398" s="4" t="s">
        <v>827</v>
      </c>
      <c r="E398" s="4" t="n">
        <v>2010</v>
      </c>
      <c r="F398" s="4" t="s">
        <v>527</v>
      </c>
      <c r="G398" s="13" t="n">
        <v>26.8212672017166</v>
      </c>
      <c r="H398" s="4" t="s">
        <v>828</v>
      </c>
      <c r="I398" s="4" t="s">
        <v>829</v>
      </c>
      <c r="J398" s="4" t="n">
        <v>920</v>
      </c>
    </row>
    <row r="399" customFormat="false" ht="15.8" hidden="false" customHeight="false" outlineLevel="0" collapsed="false">
      <c r="A399" s="4" t="s">
        <v>755</v>
      </c>
      <c r="B399" s="4" t="s">
        <v>497</v>
      </c>
      <c r="C399" s="4" t="s">
        <v>756</v>
      </c>
      <c r="D399" s="4" t="s">
        <v>119</v>
      </c>
      <c r="E399" s="4" t="n">
        <v>2006</v>
      </c>
      <c r="F399" s="4" t="s">
        <v>527</v>
      </c>
      <c r="G399" s="13" t="n">
        <v>26.8212672017166</v>
      </c>
      <c r="H399" s="4" t="s">
        <v>765</v>
      </c>
      <c r="I399" s="4" t="s">
        <v>677</v>
      </c>
      <c r="J399" s="4" t="n">
        <v>921</v>
      </c>
    </row>
    <row r="400" customFormat="false" ht="15.8" hidden="false" customHeight="false" outlineLevel="0" collapsed="false">
      <c r="A400" s="4" t="s">
        <v>755</v>
      </c>
      <c r="B400" s="4" t="s">
        <v>497</v>
      </c>
      <c r="C400" s="4" t="s">
        <v>756</v>
      </c>
      <c r="D400" s="4" t="s">
        <v>830</v>
      </c>
      <c r="E400" s="4" t="n">
        <v>2003</v>
      </c>
      <c r="F400" s="4" t="s">
        <v>538</v>
      </c>
      <c r="G400" s="13" t="n">
        <v>26.8212672017166</v>
      </c>
      <c r="H400" s="4" t="s">
        <v>828</v>
      </c>
      <c r="I400" s="4" t="s">
        <v>831</v>
      </c>
      <c r="J400" s="4" t="n">
        <v>922</v>
      </c>
    </row>
    <row r="401" customFormat="false" ht="15.8" hidden="false" customHeight="false" outlineLevel="0" collapsed="false">
      <c r="A401" s="4" t="s">
        <v>755</v>
      </c>
      <c r="B401" s="4" t="s">
        <v>497</v>
      </c>
      <c r="C401" s="4" t="s">
        <v>756</v>
      </c>
      <c r="D401" s="4" t="s">
        <v>101</v>
      </c>
      <c r="E401" s="4" t="n">
        <v>2014</v>
      </c>
      <c r="F401" s="4" t="s">
        <v>544</v>
      </c>
      <c r="G401" s="13" t="n">
        <v>26.9025899280576</v>
      </c>
      <c r="H401" s="4" t="s">
        <v>832</v>
      </c>
      <c r="I401" s="4" t="s">
        <v>799</v>
      </c>
      <c r="J401" s="4" t="n">
        <v>923</v>
      </c>
    </row>
    <row r="402" customFormat="false" ht="15.8" hidden="false" customHeight="false" outlineLevel="0" collapsed="false">
      <c r="A402" s="4" t="s">
        <v>755</v>
      </c>
      <c r="B402" s="4" t="s">
        <v>497</v>
      </c>
      <c r="C402" s="4" t="s">
        <v>756</v>
      </c>
      <c r="D402" s="4" t="s">
        <v>95</v>
      </c>
      <c r="E402" s="4" t="n">
        <v>2012</v>
      </c>
      <c r="F402" s="4" t="s">
        <v>544</v>
      </c>
      <c r="G402" s="13" t="n">
        <v>26.9306930693069</v>
      </c>
      <c r="I402" s="4" t="s">
        <v>825</v>
      </c>
      <c r="J402" s="4" t="n">
        <v>924</v>
      </c>
    </row>
    <row r="403" customFormat="false" ht="15.8" hidden="false" customHeight="false" outlineLevel="0" collapsed="false">
      <c r="A403" s="4" t="s">
        <v>755</v>
      </c>
      <c r="B403" s="4" t="s">
        <v>497</v>
      </c>
      <c r="C403" s="4" t="s">
        <v>756</v>
      </c>
      <c r="D403" s="4" t="s">
        <v>153</v>
      </c>
      <c r="E403" s="4" t="n">
        <v>2014</v>
      </c>
      <c r="F403" s="4" t="s">
        <v>527</v>
      </c>
      <c r="G403" s="13" t="n">
        <v>27.002314881677</v>
      </c>
      <c r="H403" s="4" t="s">
        <v>833</v>
      </c>
      <c r="I403" s="4" t="s">
        <v>783</v>
      </c>
      <c r="J403" s="4" t="n">
        <v>925</v>
      </c>
    </row>
    <row r="404" customFormat="false" ht="15.8" hidden="false" customHeight="false" outlineLevel="0" collapsed="false">
      <c r="A404" s="4" t="s">
        <v>755</v>
      </c>
      <c r="B404" s="4" t="s">
        <v>497</v>
      </c>
      <c r="C404" s="4" t="s">
        <v>756</v>
      </c>
      <c r="D404" s="4" t="s">
        <v>764</v>
      </c>
      <c r="E404" s="4" t="n">
        <v>2011</v>
      </c>
      <c r="F404" s="4" t="s">
        <v>527</v>
      </c>
      <c r="G404" s="13" t="n">
        <v>27.002314881677</v>
      </c>
      <c r="H404" s="4" t="s">
        <v>834</v>
      </c>
      <c r="I404" s="4" t="s">
        <v>785</v>
      </c>
      <c r="J404" s="4" t="n">
        <v>926</v>
      </c>
    </row>
    <row r="405" customFormat="false" ht="15.8" hidden="false" customHeight="false" outlineLevel="0" collapsed="false">
      <c r="A405" s="4" t="s">
        <v>755</v>
      </c>
      <c r="B405" s="4" t="s">
        <v>497</v>
      </c>
      <c r="C405" s="4" t="s">
        <v>761</v>
      </c>
      <c r="D405" s="4" t="s">
        <v>153</v>
      </c>
      <c r="E405" s="4" t="n">
        <v>2014</v>
      </c>
      <c r="F405" s="4" t="s">
        <v>544</v>
      </c>
      <c r="G405" s="13" t="n">
        <v>27.05</v>
      </c>
      <c r="H405" s="4" t="s">
        <v>835</v>
      </c>
      <c r="I405" s="4" t="s">
        <v>763</v>
      </c>
      <c r="J405" s="4" t="n">
        <v>927</v>
      </c>
    </row>
    <row r="406" customFormat="false" ht="15.8" hidden="false" customHeight="false" outlineLevel="0" collapsed="false">
      <c r="A406" s="4" t="s">
        <v>755</v>
      </c>
      <c r="B406" s="4" t="s">
        <v>497</v>
      </c>
      <c r="C406" s="4" t="s">
        <v>756</v>
      </c>
      <c r="D406" s="4" t="s">
        <v>102</v>
      </c>
      <c r="E406" s="4" t="n">
        <v>2011</v>
      </c>
      <c r="F406" s="4" t="s">
        <v>527</v>
      </c>
      <c r="G406" s="13" t="n">
        <v>27.3</v>
      </c>
      <c r="H406" s="4" t="s">
        <v>597</v>
      </c>
      <c r="I406" s="4" t="s">
        <v>598</v>
      </c>
      <c r="J406" s="4" t="n">
        <v>928</v>
      </c>
    </row>
    <row r="407" customFormat="false" ht="15.8" hidden="false" customHeight="false" outlineLevel="0" collapsed="false">
      <c r="A407" s="4" t="s">
        <v>755</v>
      </c>
      <c r="B407" s="4" t="s">
        <v>497</v>
      </c>
      <c r="C407" s="4" t="s">
        <v>756</v>
      </c>
      <c r="D407" s="4" t="s">
        <v>119</v>
      </c>
      <c r="E407" s="4" t="n">
        <v>2011</v>
      </c>
      <c r="F407" s="4" t="s">
        <v>527</v>
      </c>
      <c r="G407" s="13" t="n">
        <v>27.3342446043166</v>
      </c>
      <c r="H407" s="4" t="s">
        <v>836</v>
      </c>
      <c r="I407" s="4" t="s">
        <v>837</v>
      </c>
      <c r="J407" s="4" t="n">
        <v>929</v>
      </c>
    </row>
    <row r="408" customFormat="false" ht="15.8" hidden="false" customHeight="false" outlineLevel="0" collapsed="false">
      <c r="A408" s="4" t="s">
        <v>755</v>
      </c>
      <c r="B408" s="4" t="s">
        <v>497</v>
      </c>
      <c r="C408" s="4" t="s">
        <v>756</v>
      </c>
      <c r="D408" s="4" t="s">
        <v>838</v>
      </c>
      <c r="E408" s="4" t="n">
        <v>2013</v>
      </c>
      <c r="F408" s="4" t="s">
        <v>538</v>
      </c>
      <c r="G408" s="13" t="n">
        <v>27.3381294964029</v>
      </c>
      <c r="I408" s="4" t="s">
        <v>779</v>
      </c>
      <c r="J408" s="4" t="n">
        <v>930</v>
      </c>
    </row>
    <row r="409" customFormat="false" ht="15.8" hidden="false" customHeight="false" outlineLevel="0" collapsed="false">
      <c r="A409" s="4" t="s">
        <v>755</v>
      </c>
      <c r="B409" s="4" t="s">
        <v>497</v>
      </c>
      <c r="C409" s="4" t="s">
        <v>756</v>
      </c>
      <c r="D409" s="4" t="s">
        <v>91</v>
      </c>
      <c r="E409" s="4" t="n">
        <v>2012</v>
      </c>
      <c r="F409" s="4" t="s">
        <v>544</v>
      </c>
      <c r="G409" s="13" t="n">
        <v>27.4066666666667</v>
      </c>
      <c r="H409" s="4" t="s">
        <v>839</v>
      </c>
      <c r="I409" s="4" t="s">
        <v>599</v>
      </c>
      <c r="J409" s="4" t="n">
        <v>931</v>
      </c>
    </row>
    <row r="410" customFormat="false" ht="15.8" hidden="false" customHeight="false" outlineLevel="0" collapsed="false">
      <c r="A410" s="4" t="s">
        <v>755</v>
      </c>
      <c r="B410" s="4" t="s">
        <v>497</v>
      </c>
      <c r="C410" s="4" t="s">
        <v>756</v>
      </c>
      <c r="D410" s="4" t="s">
        <v>124</v>
      </c>
      <c r="E410" s="4" t="n">
        <v>2012</v>
      </c>
      <c r="F410" s="4" t="s">
        <v>527</v>
      </c>
      <c r="G410" s="13" t="n">
        <v>27.7658992805755</v>
      </c>
      <c r="I410" s="4" t="s">
        <v>694</v>
      </c>
      <c r="J410" s="4" t="n">
        <v>932</v>
      </c>
    </row>
    <row r="411" customFormat="false" ht="15.8" hidden="false" customHeight="false" outlineLevel="0" collapsed="false">
      <c r="A411" s="4" t="s">
        <v>755</v>
      </c>
      <c r="B411" s="4" t="s">
        <v>497</v>
      </c>
      <c r="C411" s="4" t="s">
        <v>756</v>
      </c>
      <c r="D411" s="4" t="s">
        <v>111</v>
      </c>
      <c r="E411" s="4" t="n">
        <v>2011</v>
      </c>
      <c r="F411" s="4" t="s">
        <v>527</v>
      </c>
      <c r="G411" s="13" t="n">
        <v>27.8</v>
      </c>
      <c r="H411" s="4" t="s">
        <v>597</v>
      </c>
      <c r="I411" s="4" t="s">
        <v>598</v>
      </c>
      <c r="J411" s="4" t="n">
        <v>933</v>
      </c>
    </row>
    <row r="412" customFormat="false" ht="15.8" hidden="false" customHeight="false" outlineLevel="0" collapsed="false">
      <c r="A412" s="4" t="s">
        <v>755</v>
      </c>
      <c r="B412" s="4" t="s">
        <v>497</v>
      </c>
      <c r="C412" s="4" t="s">
        <v>756</v>
      </c>
      <c r="D412" s="4" t="s">
        <v>119</v>
      </c>
      <c r="E412" s="4" t="n">
        <v>2006</v>
      </c>
      <c r="F412" s="4" t="s">
        <v>527</v>
      </c>
      <c r="G412" s="13" t="n">
        <v>28</v>
      </c>
      <c r="H412" s="4" t="s">
        <v>765</v>
      </c>
      <c r="I412" s="4" t="s">
        <v>677</v>
      </c>
      <c r="J412" s="4" t="n">
        <v>934</v>
      </c>
    </row>
    <row r="413" customFormat="false" ht="15.8" hidden="false" customHeight="false" outlineLevel="0" collapsed="false">
      <c r="A413" s="4" t="s">
        <v>755</v>
      </c>
      <c r="B413" s="4" t="s">
        <v>497</v>
      </c>
      <c r="C413" s="4" t="s">
        <v>756</v>
      </c>
      <c r="D413" s="4" t="s">
        <v>131</v>
      </c>
      <c r="E413" s="4" t="n">
        <v>2009</v>
      </c>
      <c r="F413" s="4" t="s">
        <v>538</v>
      </c>
      <c r="G413" s="13" t="n">
        <v>28</v>
      </c>
      <c r="I413" s="4" t="s">
        <v>840</v>
      </c>
      <c r="J413" s="4" t="n">
        <v>935</v>
      </c>
    </row>
    <row r="414" customFormat="false" ht="15.8" hidden="false" customHeight="false" outlineLevel="0" collapsed="false">
      <c r="A414" s="4" t="s">
        <v>755</v>
      </c>
      <c r="B414" s="4" t="s">
        <v>497</v>
      </c>
      <c r="C414" s="4" t="s">
        <v>756</v>
      </c>
      <c r="D414" s="4" t="s">
        <v>131</v>
      </c>
      <c r="E414" s="4" t="n">
        <v>2014</v>
      </c>
      <c r="F414" s="4" t="s">
        <v>527</v>
      </c>
      <c r="G414" s="13" t="n">
        <v>28</v>
      </c>
      <c r="H414" s="4" t="s">
        <v>841</v>
      </c>
      <c r="I414" s="4" t="s">
        <v>777</v>
      </c>
      <c r="J414" s="4" t="n">
        <v>936</v>
      </c>
    </row>
    <row r="415" customFormat="false" ht="15.8" hidden="false" customHeight="false" outlineLevel="0" collapsed="false">
      <c r="A415" s="4" t="s">
        <v>755</v>
      </c>
      <c r="B415" s="4" t="s">
        <v>497</v>
      </c>
      <c r="C415" s="4" t="s">
        <v>756</v>
      </c>
      <c r="D415" s="4" t="s">
        <v>789</v>
      </c>
      <c r="E415" s="4" t="n">
        <v>2010</v>
      </c>
      <c r="F415" s="4" t="s">
        <v>538</v>
      </c>
      <c r="G415" s="13" t="n">
        <v>28.0002195217562</v>
      </c>
      <c r="H415" s="4" t="s">
        <v>770</v>
      </c>
      <c r="I415" s="4" t="s">
        <v>790</v>
      </c>
      <c r="J415" s="4" t="n">
        <v>937</v>
      </c>
    </row>
    <row r="416" customFormat="false" ht="15.8" hidden="false" customHeight="false" outlineLevel="0" collapsed="false">
      <c r="A416" s="4" t="s">
        <v>755</v>
      </c>
      <c r="B416" s="4" t="s">
        <v>497</v>
      </c>
      <c r="C416" s="4" t="s">
        <v>756</v>
      </c>
      <c r="D416" s="4" t="s">
        <v>91</v>
      </c>
      <c r="E416" s="4" t="n">
        <v>2012</v>
      </c>
      <c r="F416" s="4" t="s">
        <v>544</v>
      </c>
      <c r="G416" s="13" t="n">
        <v>28.0127272727273</v>
      </c>
      <c r="H416" s="4" t="s">
        <v>842</v>
      </c>
      <c r="I416" s="4" t="s">
        <v>599</v>
      </c>
      <c r="J416" s="4" t="n">
        <v>938</v>
      </c>
    </row>
    <row r="417" customFormat="false" ht="15.8" hidden="false" customHeight="false" outlineLevel="0" collapsed="false">
      <c r="A417" s="4" t="s">
        <v>755</v>
      </c>
      <c r="B417" s="4" t="s">
        <v>497</v>
      </c>
      <c r="C417" s="4" t="s">
        <v>756</v>
      </c>
      <c r="D417" s="4" t="s">
        <v>119</v>
      </c>
      <c r="E417" s="4" t="n">
        <v>2011</v>
      </c>
      <c r="F417" s="4" t="s">
        <v>527</v>
      </c>
      <c r="G417" s="13" t="n">
        <v>28.3</v>
      </c>
      <c r="H417" s="4" t="s">
        <v>597</v>
      </c>
      <c r="I417" s="4" t="s">
        <v>598</v>
      </c>
      <c r="J417" s="4" t="n">
        <v>939</v>
      </c>
    </row>
    <row r="418" customFormat="false" ht="15.8" hidden="false" customHeight="false" outlineLevel="0" collapsed="false">
      <c r="A418" s="4" t="s">
        <v>755</v>
      </c>
      <c r="B418" s="4" t="s">
        <v>497</v>
      </c>
      <c r="C418" s="4" t="s">
        <v>756</v>
      </c>
      <c r="D418" s="4" t="s">
        <v>133</v>
      </c>
      <c r="E418" s="4" t="n">
        <v>2012</v>
      </c>
      <c r="F418" s="4" t="s">
        <v>527</v>
      </c>
      <c r="G418" s="13" t="n">
        <v>28.4</v>
      </c>
      <c r="I418" s="4" t="s">
        <v>818</v>
      </c>
      <c r="J418" s="4" t="n">
        <v>940</v>
      </c>
    </row>
    <row r="419" customFormat="false" ht="15.8" hidden="false" customHeight="false" outlineLevel="0" collapsed="false">
      <c r="A419" s="4" t="s">
        <v>755</v>
      </c>
      <c r="B419" s="4" t="s">
        <v>497</v>
      </c>
      <c r="C419" s="4" t="s">
        <v>756</v>
      </c>
      <c r="D419" s="4" t="s">
        <v>134</v>
      </c>
      <c r="E419" s="4" t="n">
        <v>2010</v>
      </c>
      <c r="F419" s="4" t="s">
        <v>527</v>
      </c>
      <c r="G419" s="13" t="n">
        <v>28.6330935251799</v>
      </c>
      <c r="H419" s="4" t="s">
        <v>843</v>
      </c>
      <c r="I419" s="4" t="s">
        <v>801</v>
      </c>
      <c r="J419" s="4" t="n">
        <v>941</v>
      </c>
    </row>
    <row r="420" customFormat="false" ht="15.8" hidden="false" customHeight="false" outlineLevel="0" collapsed="false">
      <c r="A420" s="4" t="s">
        <v>755</v>
      </c>
      <c r="B420" s="4" t="s">
        <v>497</v>
      </c>
      <c r="C420" s="4" t="s">
        <v>756</v>
      </c>
      <c r="D420" s="4" t="s">
        <v>133</v>
      </c>
      <c r="E420" s="4" t="n">
        <v>2006</v>
      </c>
      <c r="F420" s="4" t="s">
        <v>538</v>
      </c>
      <c r="G420" s="13" t="n">
        <v>28.6908616494845</v>
      </c>
      <c r="H420" s="4" t="s">
        <v>844</v>
      </c>
      <c r="I420" s="4" t="s">
        <v>572</v>
      </c>
      <c r="J420" s="4" t="n">
        <v>942</v>
      </c>
    </row>
    <row r="421" customFormat="false" ht="15.8" hidden="false" customHeight="false" outlineLevel="0" collapsed="false">
      <c r="A421" s="4" t="s">
        <v>755</v>
      </c>
      <c r="B421" s="4" t="s">
        <v>497</v>
      </c>
      <c r="C421" s="4" t="s">
        <v>756</v>
      </c>
      <c r="D421" s="4" t="s">
        <v>643</v>
      </c>
      <c r="E421" s="4" t="n">
        <v>2013</v>
      </c>
      <c r="F421" s="4" t="s">
        <v>601</v>
      </c>
      <c r="G421" s="13" t="n">
        <v>28.8</v>
      </c>
      <c r="I421" s="4" t="s">
        <v>758</v>
      </c>
      <c r="J421" s="4" t="n">
        <v>943</v>
      </c>
    </row>
    <row r="422" customFormat="false" ht="15.8" hidden="false" customHeight="false" outlineLevel="0" collapsed="false">
      <c r="A422" s="4" t="s">
        <v>755</v>
      </c>
      <c r="B422" s="4" t="s">
        <v>497</v>
      </c>
      <c r="C422" s="4" t="s">
        <v>756</v>
      </c>
      <c r="D422" s="4" t="s">
        <v>664</v>
      </c>
      <c r="E422" s="4" t="n">
        <v>2014</v>
      </c>
      <c r="F422" s="4" t="s">
        <v>601</v>
      </c>
      <c r="G422" s="13" t="n">
        <v>29</v>
      </c>
      <c r="H422" s="4" t="s">
        <v>828</v>
      </c>
      <c r="I422" s="4" t="s">
        <v>758</v>
      </c>
      <c r="J422" s="4" t="n">
        <v>944</v>
      </c>
    </row>
    <row r="423" customFormat="false" ht="15.8" hidden="false" customHeight="false" outlineLevel="0" collapsed="false">
      <c r="A423" s="4" t="s">
        <v>755</v>
      </c>
      <c r="B423" s="4" t="s">
        <v>497</v>
      </c>
      <c r="C423" s="4" t="s">
        <v>756</v>
      </c>
      <c r="D423" s="4" t="s">
        <v>845</v>
      </c>
      <c r="E423" s="4" t="n">
        <v>2011</v>
      </c>
      <c r="F423" s="4" t="s">
        <v>527</v>
      </c>
      <c r="G423" s="13" t="n">
        <v>29</v>
      </c>
      <c r="I423" s="4" t="s">
        <v>735</v>
      </c>
      <c r="J423" s="4" t="n">
        <v>945</v>
      </c>
    </row>
    <row r="424" customFormat="false" ht="15.8" hidden="false" customHeight="false" outlineLevel="0" collapsed="false">
      <c r="A424" s="4" t="s">
        <v>755</v>
      </c>
      <c r="B424" s="4" t="s">
        <v>497</v>
      </c>
      <c r="C424" s="4" t="s">
        <v>756</v>
      </c>
      <c r="D424" s="4" t="s">
        <v>133</v>
      </c>
      <c r="E424" s="4" t="n">
        <v>2012</v>
      </c>
      <c r="F424" s="4" t="s">
        <v>527</v>
      </c>
      <c r="G424" s="13" t="n">
        <v>29.4</v>
      </c>
      <c r="I424" s="4" t="s">
        <v>818</v>
      </c>
      <c r="J424" s="4" t="n">
        <v>946</v>
      </c>
    </row>
    <row r="425" customFormat="false" ht="15.8" hidden="false" customHeight="false" outlineLevel="0" collapsed="false">
      <c r="A425" s="4" t="s">
        <v>755</v>
      </c>
      <c r="B425" s="4" t="s">
        <v>497</v>
      </c>
      <c r="C425" s="4" t="s">
        <v>756</v>
      </c>
      <c r="D425" s="4" t="s">
        <v>91</v>
      </c>
      <c r="E425" s="4" t="n">
        <v>2010</v>
      </c>
      <c r="F425" s="4" t="s">
        <v>527</v>
      </c>
      <c r="G425" s="13" t="n">
        <v>29.5033939218882</v>
      </c>
      <c r="I425" s="4" t="s">
        <v>846</v>
      </c>
      <c r="J425" s="4" t="n">
        <v>947</v>
      </c>
    </row>
    <row r="426" customFormat="false" ht="15.8" hidden="false" customHeight="false" outlineLevel="0" collapsed="false">
      <c r="A426" s="4" t="s">
        <v>755</v>
      </c>
      <c r="B426" s="4" t="s">
        <v>497</v>
      </c>
      <c r="C426" s="4" t="s">
        <v>756</v>
      </c>
      <c r="D426" s="4" t="s">
        <v>126</v>
      </c>
      <c r="E426" s="4" t="n">
        <v>2011</v>
      </c>
      <c r="F426" s="4" t="s">
        <v>527</v>
      </c>
      <c r="G426" s="13" t="n">
        <v>29.8</v>
      </c>
      <c r="H426" s="4" t="s">
        <v>597</v>
      </c>
      <c r="I426" s="4" t="s">
        <v>598</v>
      </c>
      <c r="J426" s="4" t="n">
        <v>948</v>
      </c>
    </row>
    <row r="427" customFormat="false" ht="15.8" hidden="false" customHeight="false" outlineLevel="0" collapsed="false">
      <c r="A427" s="4" t="s">
        <v>755</v>
      </c>
      <c r="B427" s="4" t="s">
        <v>497</v>
      </c>
      <c r="C427" s="4" t="s">
        <v>756</v>
      </c>
      <c r="D427" s="4" t="s">
        <v>170</v>
      </c>
      <c r="E427" s="4" t="n">
        <v>2008</v>
      </c>
      <c r="F427" s="4" t="s">
        <v>527</v>
      </c>
      <c r="G427" s="13" t="n">
        <v>30</v>
      </c>
      <c r="I427" s="4" t="s">
        <v>847</v>
      </c>
      <c r="J427" s="4" t="n">
        <v>949</v>
      </c>
    </row>
    <row r="428" customFormat="false" ht="15.8" hidden="false" customHeight="false" outlineLevel="0" collapsed="false">
      <c r="A428" s="4" t="s">
        <v>755</v>
      </c>
      <c r="B428" s="4" t="s">
        <v>497</v>
      </c>
      <c r="C428" s="4" t="s">
        <v>756</v>
      </c>
      <c r="D428" s="4" t="s">
        <v>848</v>
      </c>
      <c r="E428" s="4" t="n">
        <v>2008</v>
      </c>
      <c r="F428" s="4" t="s">
        <v>527</v>
      </c>
      <c r="G428" s="13" t="n">
        <v>30</v>
      </c>
      <c r="H428" s="4" t="s">
        <v>770</v>
      </c>
      <c r="I428" s="4" t="s">
        <v>847</v>
      </c>
      <c r="J428" s="4" t="n">
        <v>950</v>
      </c>
    </row>
    <row r="429" customFormat="false" ht="15.8" hidden="false" customHeight="false" outlineLevel="0" collapsed="false">
      <c r="A429" s="4" t="s">
        <v>755</v>
      </c>
      <c r="B429" s="4" t="s">
        <v>497</v>
      </c>
      <c r="C429" s="4" t="s">
        <v>756</v>
      </c>
      <c r="D429" s="4" t="s">
        <v>664</v>
      </c>
      <c r="E429" s="4" t="n">
        <v>2014</v>
      </c>
      <c r="F429" s="4" t="s">
        <v>544</v>
      </c>
      <c r="G429" s="13" t="n">
        <v>30.027076481875</v>
      </c>
      <c r="H429" s="4" t="s">
        <v>849</v>
      </c>
      <c r="I429" s="4" t="s">
        <v>850</v>
      </c>
      <c r="J429" s="4" t="n">
        <v>951</v>
      </c>
    </row>
    <row r="430" customFormat="false" ht="15.8" hidden="false" customHeight="false" outlineLevel="0" collapsed="false">
      <c r="A430" s="4" t="s">
        <v>755</v>
      </c>
      <c r="B430" s="4" t="s">
        <v>497</v>
      </c>
      <c r="C430" s="4" t="s">
        <v>756</v>
      </c>
      <c r="D430" s="4" t="s">
        <v>664</v>
      </c>
      <c r="E430" s="4" t="n">
        <v>2011</v>
      </c>
      <c r="F430" s="4" t="s">
        <v>527</v>
      </c>
      <c r="G430" s="13" t="n">
        <v>30.2333939218882</v>
      </c>
      <c r="I430" s="4" t="s">
        <v>851</v>
      </c>
      <c r="J430" s="4" t="n">
        <v>952</v>
      </c>
    </row>
    <row r="431" customFormat="false" ht="15.8" hidden="false" customHeight="false" outlineLevel="0" collapsed="false">
      <c r="A431" s="4" t="s">
        <v>755</v>
      </c>
      <c r="B431" s="4" t="s">
        <v>497</v>
      </c>
      <c r="C431" s="4" t="s">
        <v>756</v>
      </c>
      <c r="D431" s="4" t="s">
        <v>91</v>
      </c>
      <c r="E431" s="4" t="n">
        <v>2012</v>
      </c>
      <c r="F431" s="4" t="s">
        <v>544</v>
      </c>
      <c r="G431" s="13" t="n">
        <v>30.4369696969697</v>
      </c>
      <c r="H431" s="4" t="s">
        <v>852</v>
      </c>
      <c r="I431" s="4" t="s">
        <v>599</v>
      </c>
      <c r="J431" s="4" t="n">
        <v>953</v>
      </c>
    </row>
    <row r="432" customFormat="false" ht="15.8" hidden="false" customHeight="false" outlineLevel="0" collapsed="false">
      <c r="A432" s="4" t="s">
        <v>755</v>
      </c>
      <c r="B432" s="4" t="s">
        <v>497</v>
      </c>
      <c r="C432" s="4" t="s">
        <v>756</v>
      </c>
      <c r="D432" s="4" t="s">
        <v>853</v>
      </c>
      <c r="E432" s="4" t="n">
        <v>2010</v>
      </c>
      <c r="F432" s="4" t="s">
        <v>527</v>
      </c>
      <c r="G432" s="13" t="n">
        <v>30.5349811219542</v>
      </c>
      <c r="H432" s="4" t="s">
        <v>854</v>
      </c>
      <c r="I432" s="4" t="s">
        <v>855</v>
      </c>
      <c r="J432" s="4" t="n">
        <v>954</v>
      </c>
    </row>
    <row r="433" customFormat="false" ht="15.8" hidden="false" customHeight="false" outlineLevel="0" collapsed="false">
      <c r="A433" s="4" t="s">
        <v>755</v>
      </c>
      <c r="B433" s="4" t="s">
        <v>497</v>
      </c>
      <c r="C433" s="4" t="s">
        <v>756</v>
      </c>
      <c r="D433" s="4" t="s">
        <v>845</v>
      </c>
      <c r="E433" s="4" t="n">
        <v>2014</v>
      </c>
      <c r="F433" s="4" t="s">
        <v>527</v>
      </c>
      <c r="G433" s="13" t="n">
        <v>31</v>
      </c>
      <c r="I433" s="4" t="s">
        <v>777</v>
      </c>
      <c r="J433" s="4" t="n">
        <v>955</v>
      </c>
    </row>
    <row r="434" customFormat="false" ht="15.8" hidden="false" customHeight="false" outlineLevel="0" collapsed="false">
      <c r="A434" s="4" t="s">
        <v>755</v>
      </c>
      <c r="B434" s="4" t="s">
        <v>497</v>
      </c>
      <c r="C434" s="4" t="s">
        <v>756</v>
      </c>
      <c r="D434" s="4" t="s">
        <v>131</v>
      </c>
      <c r="E434" s="4" t="n">
        <v>2014</v>
      </c>
      <c r="F434" s="4" t="s">
        <v>527</v>
      </c>
      <c r="G434" s="13" t="n">
        <v>31</v>
      </c>
      <c r="H434" s="4" t="s">
        <v>856</v>
      </c>
      <c r="I434" s="4" t="s">
        <v>777</v>
      </c>
      <c r="J434" s="4" t="n">
        <v>956</v>
      </c>
    </row>
    <row r="435" customFormat="false" ht="15.8" hidden="false" customHeight="false" outlineLevel="0" collapsed="false">
      <c r="A435" s="4" t="s">
        <v>755</v>
      </c>
      <c r="B435" s="4" t="s">
        <v>497</v>
      </c>
      <c r="C435" s="4" t="s">
        <v>756</v>
      </c>
      <c r="D435" s="4" t="s">
        <v>131</v>
      </c>
      <c r="E435" s="4" t="n">
        <v>2014</v>
      </c>
      <c r="F435" s="4" t="s">
        <v>527</v>
      </c>
      <c r="G435" s="13" t="n">
        <v>31</v>
      </c>
      <c r="H435" s="4" t="s">
        <v>857</v>
      </c>
      <c r="I435" s="4" t="s">
        <v>777</v>
      </c>
      <c r="J435" s="4" t="n">
        <v>957</v>
      </c>
    </row>
    <row r="436" customFormat="false" ht="15.8" hidden="false" customHeight="false" outlineLevel="0" collapsed="false">
      <c r="A436" s="4" t="s">
        <v>755</v>
      </c>
      <c r="B436" s="4" t="s">
        <v>497</v>
      </c>
      <c r="C436" s="4" t="s">
        <v>756</v>
      </c>
      <c r="D436" s="4" t="s">
        <v>119</v>
      </c>
      <c r="E436" s="4" t="n">
        <v>2014</v>
      </c>
      <c r="F436" s="4" t="s">
        <v>527</v>
      </c>
      <c r="G436" s="13" t="n">
        <v>31</v>
      </c>
      <c r="I436" s="4" t="s">
        <v>777</v>
      </c>
      <c r="J436" s="4" t="n">
        <v>958</v>
      </c>
    </row>
    <row r="437" customFormat="false" ht="15.8" hidden="false" customHeight="false" outlineLevel="0" collapsed="false">
      <c r="A437" s="4" t="s">
        <v>755</v>
      </c>
      <c r="B437" s="4" t="s">
        <v>497</v>
      </c>
      <c r="C437" s="4" t="s">
        <v>756</v>
      </c>
      <c r="D437" s="4" t="s">
        <v>130</v>
      </c>
      <c r="E437" s="4" t="n">
        <v>2011</v>
      </c>
      <c r="F437" s="4" t="s">
        <v>527</v>
      </c>
      <c r="G437" s="13" t="n">
        <v>31.1</v>
      </c>
      <c r="H437" s="4" t="s">
        <v>597</v>
      </c>
      <c r="I437" s="4" t="s">
        <v>598</v>
      </c>
      <c r="J437" s="4" t="n">
        <v>959</v>
      </c>
    </row>
    <row r="438" customFormat="false" ht="15.8" hidden="false" customHeight="false" outlineLevel="0" collapsed="false">
      <c r="A438" s="4" t="s">
        <v>755</v>
      </c>
      <c r="B438" s="4" t="s">
        <v>497</v>
      </c>
      <c r="C438" s="4" t="s">
        <v>756</v>
      </c>
      <c r="D438" s="4" t="s">
        <v>858</v>
      </c>
      <c r="E438" s="4" t="n">
        <v>2010</v>
      </c>
      <c r="F438" s="4" t="s">
        <v>527</v>
      </c>
      <c r="G438" s="13" t="n">
        <v>31.5665683220203</v>
      </c>
      <c r="H438" s="4" t="s">
        <v>770</v>
      </c>
      <c r="I438" s="4" t="s">
        <v>829</v>
      </c>
      <c r="J438" s="4" t="n">
        <v>960</v>
      </c>
    </row>
    <row r="439" customFormat="false" ht="15.8" hidden="false" customHeight="false" outlineLevel="0" collapsed="false">
      <c r="A439" s="4" t="s">
        <v>755</v>
      </c>
      <c r="B439" s="4" t="s">
        <v>497</v>
      </c>
      <c r="C439" s="4" t="s">
        <v>756</v>
      </c>
      <c r="D439" s="4" t="s">
        <v>119</v>
      </c>
      <c r="E439" s="4" t="n">
        <v>2006</v>
      </c>
      <c r="F439" s="4" t="s">
        <v>527</v>
      </c>
      <c r="G439" s="13" t="n">
        <v>32</v>
      </c>
      <c r="H439" s="4" t="s">
        <v>765</v>
      </c>
      <c r="I439" s="4" t="s">
        <v>677</v>
      </c>
      <c r="J439" s="4" t="n">
        <v>961</v>
      </c>
    </row>
    <row r="440" customFormat="false" ht="15.8" hidden="false" customHeight="false" outlineLevel="0" collapsed="false">
      <c r="A440" s="4" t="s">
        <v>755</v>
      </c>
      <c r="B440" s="4" t="s">
        <v>497</v>
      </c>
      <c r="C440" s="4" t="s">
        <v>756</v>
      </c>
      <c r="D440" s="4" t="s">
        <v>859</v>
      </c>
      <c r="E440" s="4" t="n">
        <v>2007</v>
      </c>
      <c r="F440" s="4" t="s">
        <v>527</v>
      </c>
      <c r="G440" s="13" t="n">
        <v>32</v>
      </c>
      <c r="I440" s="4" t="s">
        <v>860</v>
      </c>
      <c r="J440" s="4" t="n">
        <v>962</v>
      </c>
    </row>
    <row r="441" customFormat="false" ht="15.8" hidden="false" customHeight="false" outlineLevel="0" collapsed="false">
      <c r="A441" s="4" t="s">
        <v>755</v>
      </c>
      <c r="B441" s="4" t="s">
        <v>497</v>
      </c>
      <c r="C441" s="4" t="s">
        <v>756</v>
      </c>
      <c r="D441" s="4" t="s">
        <v>153</v>
      </c>
      <c r="E441" s="4" t="n">
        <v>2011</v>
      </c>
      <c r="F441" s="4" t="s">
        <v>527</v>
      </c>
      <c r="G441" s="13" t="n">
        <v>32.5392032020467</v>
      </c>
      <c r="H441" s="4" t="s">
        <v>810</v>
      </c>
      <c r="I441" s="4" t="s">
        <v>811</v>
      </c>
      <c r="J441" s="4" t="n">
        <v>963</v>
      </c>
    </row>
    <row r="442" customFormat="false" ht="15.8" hidden="false" customHeight="false" outlineLevel="0" collapsed="false">
      <c r="A442" s="4" t="s">
        <v>755</v>
      </c>
      <c r="B442" s="4" t="s">
        <v>497</v>
      </c>
      <c r="C442" s="4" t="s">
        <v>756</v>
      </c>
      <c r="D442" s="4" t="s">
        <v>118</v>
      </c>
      <c r="E442" s="4" t="n">
        <v>2011</v>
      </c>
      <c r="F442" s="4" t="s">
        <v>527</v>
      </c>
      <c r="G442" s="13" t="n">
        <v>32.8</v>
      </c>
      <c r="H442" s="4" t="s">
        <v>597</v>
      </c>
      <c r="I442" s="4" t="s">
        <v>598</v>
      </c>
      <c r="J442" s="4" t="n">
        <v>964</v>
      </c>
    </row>
    <row r="443" customFormat="false" ht="15.8" hidden="false" customHeight="false" outlineLevel="0" collapsed="false">
      <c r="A443" s="4" t="s">
        <v>755</v>
      </c>
      <c r="B443" s="4" t="s">
        <v>497</v>
      </c>
      <c r="C443" s="4" t="s">
        <v>756</v>
      </c>
      <c r="D443" s="4" t="s">
        <v>664</v>
      </c>
      <c r="E443" s="4" t="n">
        <v>2014</v>
      </c>
      <c r="F443" s="4" t="s">
        <v>544</v>
      </c>
      <c r="G443" s="13" t="n">
        <v>33.1218380820731</v>
      </c>
      <c r="H443" s="4" t="s">
        <v>547</v>
      </c>
      <c r="I443" s="4" t="s">
        <v>850</v>
      </c>
      <c r="J443" s="4" t="n">
        <v>965</v>
      </c>
    </row>
    <row r="444" customFormat="false" ht="15.8" hidden="false" customHeight="false" outlineLevel="0" collapsed="false">
      <c r="A444" s="4" t="s">
        <v>755</v>
      </c>
      <c r="B444" s="4" t="s">
        <v>497</v>
      </c>
      <c r="C444" s="4" t="s">
        <v>756</v>
      </c>
      <c r="D444" s="4" t="s">
        <v>125</v>
      </c>
      <c r="E444" s="4" t="n">
        <v>2011</v>
      </c>
      <c r="F444" s="4" t="s">
        <v>527</v>
      </c>
      <c r="G444" s="13" t="n">
        <v>33.3</v>
      </c>
      <c r="H444" s="4" t="s">
        <v>597</v>
      </c>
      <c r="I444" s="4" t="s">
        <v>598</v>
      </c>
      <c r="J444" s="4" t="n">
        <v>966</v>
      </c>
    </row>
    <row r="445" customFormat="false" ht="15.8" hidden="false" customHeight="false" outlineLevel="0" collapsed="false">
      <c r="A445" s="4" t="s">
        <v>755</v>
      </c>
      <c r="B445" s="4" t="s">
        <v>497</v>
      </c>
      <c r="C445" s="4" t="s">
        <v>756</v>
      </c>
      <c r="D445" s="4" t="s">
        <v>119</v>
      </c>
      <c r="E445" s="4" t="n">
        <v>2011</v>
      </c>
      <c r="F445" s="4" t="s">
        <v>527</v>
      </c>
      <c r="G445" s="13" t="n">
        <v>33.3774100719425</v>
      </c>
      <c r="H445" s="4" t="s">
        <v>861</v>
      </c>
      <c r="I445" s="4" t="s">
        <v>837</v>
      </c>
      <c r="J445" s="4" t="n">
        <v>967</v>
      </c>
    </row>
    <row r="446" customFormat="false" ht="15.8" hidden="false" customHeight="false" outlineLevel="0" collapsed="false">
      <c r="A446" s="4" t="s">
        <v>755</v>
      </c>
      <c r="B446" s="4" t="s">
        <v>497</v>
      </c>
      <c r="C446" s="4" t="s">
        <v>756</v>
      </c>
      <c r="D446" s="4" t="s">
        <v>664</v>
      </c>
      <c r="E446" s="4" t="n">
        <v>2014</v>
      </c>
      <c r="F446" s="4" t="s">
        <v>544</v>
      </c>
      <c r="G446" s="13" t="n">
        <v>33.7407904021127</v>
      </c>
      <c r="H446" s="4" t="s">
        <v>770</v>
      </c>
      <c r="I446" s="4" t="s">
        <v>850</v>
      </c>
      <c r="J446" s="4" t="n">
        <v>968</v>
      </c>
    </row>
    <row r="447" customFormat="false" ht="15.8" hidden="false" customHeight="false" outlineLevel="0" collapsed="false">
      <c r="A447" s="4" t="s">
        <v>755</v>
      </c>
      <c r="B447" s="4" t="s">
        <v>497</v>
      </c>
      <c r="C447" s="4" t="s">
        <v>756</v>
      </c>
      <c r="D447" s="4" t="s">
        <v>133</v>
      </c>
      <c r="E447" s="4" t="n">
        <v>2012</v>
      </c>
      <c r="F447" s="4" t="s">
        <v>527</v>
      </c>
      <c r="G447" s="13" t="n">
        <v>33.85</v>
      </c>
      <c r="I447" s="4" t="s">
        <v>818</v>
      </c>
      <c r="J447" s="4" t="n">
        <v>969</v>
      </c>
    </row>
    <row r="448" customFormat="false" ht="15.8" hidden="false" customHeight="false" outlineLevel="0" collapsed="false">
      <c r="A448" s="4" t="s">
        <v>755</v>
      </c>
      <c r="B448" s="4" t="s">
        <v>497</v>
      </c>
      <c r="C448" s="4" t="s">
        <v>756</v>
      </c>
      <c r="D448" s="4" t="s">
        <v>133</v>
      </c>
      <c r="E448" s="4" t="n">
        <v>2012</v>
      </c>
      <c r="F448" s="4" t="s">
        <v>527</v>
      </c>
      <c r="G448" s="13" t="n">
        <v>33.99</v>
      </c>
      <c r="I448" s="4" t="s">
        <v>818</v>
      </c>
      <c r="J448" s="4" t="n">
        <v>970</v>
      </c>
    </row>
    <row r="449" customFormat="false" ht="15.8" hidden="false" customHeight="false" outlineLevel="0" collapsed="false">
      <c r="A449" s="4" t="s">
        <v>755</v>
      </c>
      <c r="B449" s="4" t="s">
        <v>497</v>
      </c>
      <c r="C449" s="4" t="s">
        <v>756</v>
      </c>
      <c r="D449" s="4" t="s">
        <v>664</v>
      </c>
      <c r="E449" s="4" t="n">
        <v>2013</v>
      </c>
      <c r="F449" s="4" t="s">
        <v>601</v>
      </c>
      <c r="G449" s="13" t="n">
        <v>34.1</v>
      </c>
      <c r="H449" s="4" t="s">
        <v>828</v>
      </c>
      <c r="I449" s="4" t="s">
        <v>758</v>
      </c>
      <c r="J449" s="4" t="n">
        <v>971</v>
      </c>
    </row>
    <row r="450" customFormat="false" ht="15.8" hidden="false" customHeight="false" outlineLevel="0" collapsed="false">
      <c r="A450" s="4" t="s">
        <v>755</v>
      </c>
      <c r="B450" s="4" t="s">
        <v>497</v>
      </c>
      <c r="C450" s="4" t="s">
        <v>756</v>
      </c>
      <c r="D450" s="4" t="s">
        <v>862</v>
      </c>
      <c r="E450" s="4" t="n">
        <v>2013</v>
      </c>
      <c r="F450" s="4" t="s">
        <v>538</v>
      </c>
      <c r="G450" s="13" t="n">
        <v>34.5323741007194</v>
      </c>
      <c r="I450" s="4" t="s">
        <v>779</v>
      </c>
      <c r="J450" s="4" t="n">
        <v>972</v>
      </c>
    </row>
    <row r="451" customFormat="false" ht="15.8" hidden="false" customHeight="false" outlineLevel="0" collapsed="false">
      <c r="A451" s="4" t="s">
        <v>755</v>
      </c>
      <c r="B451" s="4" t="s">
        <v>497</v>
      </c>
      <c r="C451" s="4" t="s">
        <v>756</v>
      </c>
      <c r="D451" s="4" t="s">
        <v>103</v>
      </c>
      <c r="E451" s="4" t="n">
        <v>2011</v>
      </c>
      <c r="F451" s="4" t="s">
        <v>527</v>
      </c>
      <c r="G451" s="13" t="n">
        <v>34.6</v>
      </c>
      <c r="H451" s="4" t="s">
        <v>597</v>
      </c>
      <c r="I451" s="4" t="s">
        <v>598</v>
      </c>
      <c r="J451" s="4" t="n">
        <v>973</v>
      </c>
    </row>
    <row r="452" customFormat="false" ht="15.8" hidden="false" customHeight="false" outlineLevel="0" collapsed="false">
      <c r="A452" s="4" t="s">
        <v>755</v>
      </c>
      <c r="B452" s="4" t="s">
        <v>497</v>
      </c>
      <c r="C452" s="4" t="s">
        <v>756</v>
      </c>
      <c r="D452" s="4" t="s">
        <v>643</v>
      </c>
      <c r="E452" s="4" t="n">
        <v>2015</v>
      </c>
      <c r="F452" s="4" t="s">
        <v>601</v>
      </c>
      <c r="G452" s="13" t="n">
        <v>35</v>
      </c>
      <c r="H452" s="4" t="s">
        <v>828</v>
      </c>
      <c r="I452" s="4" t="s">
        <v>758</v>
      </c>
      <c r="J452" s="4" t="n">
        <v>974</v>
      </c>
    </row>
    <row r="453" customFormat="false" ht="15.8" hidden="false" customHeight="false" outlineLevel="0" collapsed="false">
      <c r="A453" s="4" t="s">
        <v>755</v>
      </c>
      <c r="B453" s="4" t="s">
        <v>497</v>
      </c>
      <c r="C453" s="4" t="s">
        <v>756</v>
      </c>
      <c r="D453" s="4" t="s">
        <v>859</v>
      </c>
      <c r="E453" s="4" t="n">
        <v>2012</v>
      </c>
      <c r="F453" s="4" t="s">
        <v>527</v>
      </c>
      <c r="G453" s="13" t="n">
        <v>35.26</v>
      </c>
      <c r="I453" s="4" t="s">
        <v>863</v>
      </c>
      <c r="J453" s="4" t="n">
        <v>975</v>
      </c>
    </row>
    <row r="454" customFormat="false" ht="15.8" hidden="false" customHeight="false" outlineLevel="0" collapsed="false">
      <c r="A454" s="4" t="s">
        <v>755</v>
      </c>
      <c r="B454" s="4" t="s">
        <v>497</v>
      </c>
      <c r="C454" s="4" t="s">
        <v>756</v>
      </c>
      <c r="D454" s="4" t="s">
        <v>116</v>
      </c>
      <c r="E454" s="4" t="n">
        <v>2011</v>
      </c>
      <c r="F454" s="4" t="s">
        <v>527</v>
      </c>
      <c r="G454" s="13" t="n">
        <v>35.8</v>
      </c>
      <c r="H454" s="4" t="s">
        <v>597</v>
      </c>
      <c r="I454" s="4" t="s">
        <v>598</v>
      </c>
      <c r="J454" s="4" t="n">
        <v>976</v>
      </c>
    </row>
    <row r="455" customFormat="false" ht="15.8" hidden="false" customHeight="false" outlineLevel="0" collapsed="false">
      <c r="A455" s="4" t="s">
        <v>755</v>
      </c>
      <c r="B455" s="4" t="s">
        <v>497</v>
      </c>
      <c r="C455" s="4" t="s">
        <v>756</v>
      </c>
      <c r="D455" s="4" t="s">
        <v>112</v>
      </c>
      <c r="E455" s="4" t="n">
        <v>2011</v>
      </c>
      <c r="F455" s="4" t="s">
        <v>527</v>
      </c>
      <c r="G455" s="13" t="n">
        <v>36.6</v>
      </c>
      <c r="H455" s="4" t="s">
        <v>597</v>
      </c>
      <c r="I455" s="4" t="s">
        <v>598</v>
      </c>
      <c r="J455" s="4" t="n">
        <v>977</v>
      </c>
    </row>
    <row r="456" customFormat="false" ht="15.8" hidden="false" customHeight="false" outlineLevel="0" collapsed="false">
      <c r="A456" s="4" t="s">
        <v>755</v>
      </c>
      <c r="B456" s="4" t="s">
        <v>497</v>
      </c>
      <c r="C456" s="4" t="s">
        <v>756</v>
      </c>
      <c r="D456" s="4" t="s">
        <v>864</v>
      </c>
      <c r="E456" s="4" t="n">
        <v>2016</v>
      </c>
      <c r="F456" s="4" t="s">
        <v>601</v>
      </c>
      <c r="G456" s="13" t="n">
        <v>37</v>
      </c>
      <c r="H456" s="4" t="s">
        <v>554</v>
      </c>
      <c r="I456" s="4" t="s">
        <v>758</v>
      </c>
      <c r="J456" s="4" t="n">
        <v>978</v>
      </c>
    </row>
    <row r="457" customFormat="false" ht="15.8" hidden="false" customHeight="false" outlineLevel="0" collapsed="false">
      <c r="A457" s="4" t="s">
        <v>755</v>
      </c>
      <c r="B457" s="4" t="s">
        <v>497</v>
      </c>
      <c r="C457" s="4" t="s">
        <v>756</v>
      </c>
      <c r="D457" s="4" t="s">
        <v>91</v>
      </c>
      <c r="E457" s="4" t="n">
        <v>2010</v>
      </c>
      <c r="F457" s="4" t="s">
        <v>527</v>
      </c>
      <c r="G457" s="13" t="n">
        <v>37.7560915224164</v>
      </c>
      <c r="H457" s="4" t="s">
        <v>770</v>
      </c>
      <c r="I457" s="4" t="s">
        <v>846</v>
      </c>
      <c r="J457" s="4" t="n">
        <v>979</v>
      </c>
    </row>
    <row r="458" customFormat="false" ht="15.8" hidden="false" customHeight="false" outlineLevel="0" collapsed="false">
      <c r="A458" s="4" t="s">
        <v>755</v>
      </c>
      <c r="B458" s="4" t="s">
        <v>497</v>
      </c>
      <c r="C458" s="4" t="s">
        <v>756</v>
      </c>
      <c r="D458" s="4" t="s">
        <v>119</v>
      </c>
      <c r="E458" s="4" t="n">
        <v>2008</v>
      </c>
      <c r="F458" s="4" t="s">
        <v>538</v>
      </c>
      <c r="G458" s="13" t="n">
        <v>37.9166666666667</v>
      </c>
      <c r="I458" s="4" t="s">
        <v>617</v>
      </c>
      <c r="J458" s="4" t="n">
        <v>980</v>
      </c>
    </row>
    <row r="459" customFormat="false" ht="15.8" hidden="false" customHeight="false" outlineLevel="0" collapsed="false">
      <c r="A459" s="4" t="s">
        <v>755</v>
      </c>
      <c r="B459" s="4" t="s">
        <v>497</v>
      </c>
      <c r="C459" s="4" t="s">
        <v>756</v>
      </c>
      <c r="D459" s="4" t="s">
        <v>103</v>
      </c>
      <c r="E459" s="4" t="n">
        <v>2011</v>
      </c>
      <c r="F459" s="4" t="s">
        <v>527</v>
      </c>
      <c r="G459" s="13" t="n">
        <v>38.3</v>
      </c>
      <c r="I459" s="4" t="s">
        <v>865</v>
      </c>
      <c r="J459" s="4" t="n">
        <v>981</v>
      </c>
    </row>
    <row r="460" customFormat="false" ht="15.8" hidden="false" customHeight="false" outlineLevel="0" collapsed="false">
      <c r="A460" s="4" t="s">
        <v>755</v>
      </c>
      <c r="B460" s="4" t="s">
        <v>497</v>
      </c>
      <c r="C460" s="4" t="s">
        <v>756</v>
      </c>
      <c r="D460" s="4" t="s">
        <v>91</v>
      </c>
      <c r="E460" s="4" t="n">
        <v>2010</v>
      </c>
      <c r="F460" s="4" t="s">
        <v>527</v>
      </c>
      <c r="G460" s="13" t="n">
        <v>38.8489208633094</v>
      </c>
      <c r="H460" s="52" t="s">
        <v>866</v>
      </c>
      <c r="I460" s="4" t="s">
        <v>867</v>
      </c>
      <c r="J460" s="4" t="n">
        <v>982</v>
      </c>
    </row>
    <row r="461" customFormat="false" ht="15.8" hidden="false" customHeight="false" outlineLevel="0" collapsed="false">
      <c r="A461" s="4" t="s">
        <v>755</v>
      </c>
      <c r="B461" s="4" t="s">
        <v>497</v>
      </c>
      <c r="C461" s="4" t="s">
        <v>756</v>
      </c>
      <c r="D461" s="4" t="s">
        <v>134</v>
      </c>
      <c r="E461" s="4" t="n">
        <v>2010</v>
      </c>
      <c r="F461" s="4" t="s">
        <v>527</v>
      </c>
      <c r="G461" s="13" t="n">
        <v>39.2805755395683</v>
      </c>
      <c r="H461" s="4" t="s">
        <v>868</v>
      </c>
      <c r="I461" s="4" t="s">
        <v>801</v>
      </c>
      <c r="J461" s="4" t="n">
        <v>983</v>
      </c>
    </row>
    <row r="462" customFormat="false" ht="15.8" hidden="false" customHeight="false" outlineLevel="0" collapsed="false">
      <c r="A462" s="4" t="s">
        <v>755</v>
      </c>
      <c r="B462" s="4" t="s">
        <v>497</v>
      </c>
      <c r="C462" s="4" t="s">
        <v>756</v>
      </c>
      <c r="D462" s="4" t="s">
        <v>91</v>
      </c>
      <c r="E462" s="4" t="n">
        <v>2010</v>
      </c>
      <c r="F462" s="4" t="s">
        <v>527</v>
      </c>
      <c r="G462" s="13" t="n">
        <v>39.2805755395683</v>
      </c>
      <c r="H462" s="52" t="s">
        <v>869</v>
      </c>
      <c r="I462" s="4" t="s">
        <v>867</v>
      </c>
      <c r="J462" s="4" t="n">
        <v>984</v>
      </c>
    </row>
    <row r="463" customFormat="false" ht="15.8" hidden="false" customHeight="false" outlineLevel="0" collapsed="false">
      <c r="A463" s="4" t="s">
        <v>755</v>
      </c>
      <c r="B463" s="4" t="s">
        <v>497</v>
      </c>
      <c r="C463" s="4" t="s">
        <v>756</v>
      </c>
      <c r="D463" s="4" t="s">
        <v>830</v>
      </c>
      <c r="E463" s="4" t="n">
        <v>2010</v>
      </c>
      <c r="F463" s="4" t="s">
        <v>527</v>
      </c>
      <c r="G463" s="13" t="n">
        <v>39.6129484825352</v>
      </c>
      <c r="H463" s="4" t="s">
        <v>870</v>
      </c>
      <c r="I463" s="4" t="s">
        <v>855</v>
      </c>
      <c r="J463" s="4" t="n">
        <v>985</v>
      </c>
    </row>
    <row r="464" customFormat="false" ht="15.8" hidden="false" customHeight="false" outlineLevel="0" collapsed="false">
      <c r="A464" s="4" t="s">
        <v>755</v>
      </c>
      <c r="B464" s="4" t="s">
        <v>497</v>
      </c>
      <c r="C464" s="4" t="s">
        <v>756</v>
      </c>
      <c r="D464" s="4" t="s">
        <v>91</v>
      </c>
      <c r="E464" s="4" t="n">
        <v>2010</v>
      </c>
      <c r="F464" s="4" t="s">
        <v>527</v>
      </c>
      <c r="G464" s="13" t="n">
        <v>39.8561151079137</v>
      </c>
      <c r="H464" s="4" t="s">
        <v>871</v>
      </c>
      <c r="I464" s="4" t="s">
        <v>867</v>
      </c>
      <c r="J464" s="4" t="n">
        <v>986</v>
      </c>
    </row>
    <row r="465" customFormat="false" ht="15.8" hidden="false" customHeight="false" outlineLevel="0" collapsed="false">
      <c r="A465" s="4" t="s">
        <v>755</v>
      </c>
      <c r="B465" s="4" t="s">
        <v>497</v>
      </c>
      <c r="C465" s="4" t="s">
        <v>756</v>
      </c>
      <c r="D465" s="4" t="s">
        <v>91</v>
      </c>
      <c r="E465" s="4" t="n">
        <v>2010</v>
      </c>
      <c r="F465" s="4" t="s">
        <v>527</v>
      </c>
      <c r="G465" s="13" t="n">
        <v>40</v>
      </c>
      <c r="H465" s="4" t="s">
        <v>872</v>
      </c>
      <c r="I465" s="4" t="s">
        <v>867</v>
      </c>
      <c r="J465" s="4" t="n">
        <v>987</v>
      </c>
    </row>
    <row r="466" customFormat="false" ht="15.8" hidden="false" customHeight="false" outlineLevel="0" collapsed="false">
      <c r="A466" s="4" t="s">
        <v>755</v>
      </c>
      <c r="B466" s="4" t="s">
        <v>497</v>
      </c>
      <c r="C466" s="4" t="s">
        <v>756</v>
      </c>
      <c r="D466" s="4" t="s">
        <v>873</v>
      </c>
      <c r="E466" s="4" t="n">
        <v>2013</v>
      </c>
      <c r="F466" s="4" t="s">
        <v>538</v>
      </c>
      <c r="G466" s="13" t="n">
        <v>40.2877697841727</v>
      </c>
      <c r="I466" s="4" t="s">
        <v>779</v>
      </c>
      <c r="J466" s="4" t="n">
        <v>988</v>
      </c>
    </row>
    <row r="467" customFormat="false" ht="15.8" hidden="false" customHeight="false" outlineLevel="0" collapsed="false">
      <c r="A467" s="4" t="s">
        <v>755</v>
      </c>
      <c r="B467" s="4" t="s">
        <v>497</v>
      </c>
      <c r="C467" s="4" t="s">
        <v>756</v>
      </c>
      <c r="D467" s="4" t="s">
        <v>664</v>
      </c>
      <c r="E467" s="4" t="n">
        <v>2009</v>
      </c>
      <c r="F467" s="4" t="s">
        <v>538</v>
      </c>
      <c r="G467" s="13" t="n">
        <v>40.29</v>
      </c>
      <c r="I467" s="4" t="s">
        <v>874</v>
      </c>
      <c r="J467" s="4" t="n">
        <v>989</v>
      </c>
    </row>
    <row r="468" customFormat="false" ht="15.8" hidden="false" customHeight="false" outlineLevel="0" collapsed="false">
      <c r="A468" s="4" t="s">
        <v>755</v>
      </c>
      <c r="B468" s="4" t="s">
        <v>497</v>
      </c>
      <c r="C468" s="4" t="s">
        <v>756</v>
      </c>
      <c r="D468" s="4" t="s">
        <v>664</v>
      </c>
      <c r="E468" s="4" t="n">
        <v>2014</v>
      </c>
      <c r="F468" s="4" t="s">
        <v>527</v>
      </c>
      <c r="G468" s="13" t="n">
        <v>41</v>
      </c>
      <c r="I468" s="4" t="s">
        <v>777</v>
      </c>
      <c r="J468" s="4" t="n">
        <v>990</v>
      </c>
    </row>
    <row r="469" customFormat="false" ht="15.8" hidden="false" customHeight="false" outlineLevel="0" collapsed="false">
      <c r="A469" s="4" t="s">
        <v>755</v>
      </c>
      <c r="B469" s="4" t="s">
        <v>497</v>
      </c>
      <c r="C469" s="4" t="s">
        <v>756</v>
      </c>
      <c r="D469" s="4" t="s">
        <v>875</v>
      </c>
      <c r="E469" s="4" t="n">
        <v>2013</v>
      </c>
      <c r="F469" s="4" t="s">
        <v>538</v>
      </c>
      <c r="G469" s="13" t="n">
        <v>41.726618705036</v>
      </c>
      <c r="I469" s="4" t="s">
        <v>779</v>
      </c>
      <c r="J469" s="4" t="n">
        <v>991</v>
      </c>
    </row>
    <row r="470" customFormat="false" ht="15.8" hidden="false" customHeight="false" outlineLevel="0" collapsed="false">
      <c r="A470" s="4" t="s">
        <v>755</v>
      </c>
      <c r="B470" s="4" t="s">
        <v>497</v>
      </c>
      <c r="C470" s="4" t="s">
        <v>756</v>
      </c>
      <c r="D470" s="4" t="s">
        <v>876</v>
      </c>
      <c r="E470" s="4" t="n">
        <v>2017</v>
      </c>
      <c r="F470" s="4" t="s">
        <v>601</v>
      </c>
      <c r="G470" s="13" t="n">
        <v>42</v>
      </c>
      <c r="H470" s="4" t="s">
        <v>554</v>
      </c>
      <c r="I470" s="4" t="s">
        <v>758</v>
      </c>
      <c r="J470" s="4" t="n">
        <v>992</v>
      </c>
    </row>
    <row r="471" customFormat="false" ht="15.8" hidden="false" customHeight="false" outlineLevel="0" collapsed="false">
      <c r="A471" s="4" t="s">
        <v>755</v>
      </c>
      <c r="B471" s="4" t="s">
        <v>497</v>
      </c>
      <c r="C471" s="4" t="s">
        <v>756</v>
      </c>
      <c r="D471" s="4" t="s">
        <v>117</v>
      </c>
      <c r="E471" s="4" t="n">
        <v>2011</v>
      </c>
      <c r="F471" s="4" t="s">
        <v>527</v>
      </c>
      <c r="G471" s="13" t="n">
        <v>42.3</v>
      </c>
      <c r="H471" s="4" t="s">
        <v>597</v>
      </c>
      <c r="I471" s="4" t="s">
        <v>598</v>
      </c>
      <c r="J471" s="4" t="n">
        <v>993</v>
      </c>
    </row>
    <row r="472" customFormat="false" ht="15.8" hidden="false" customHeight="false" outlineLevel="0" collapsed="false">
      <c r="A472" s="4" t="s">
        <v>755</v>
      </c>
      <c r="B472" s="4" t="s">
        <v>497</v>
      </c>
      <c r="C472" s="4" t="s">
        <v>756</v>
      </c>
      <c r="D472" s="4" t="s">
        <v>664</v>
      </c>
      <c r="E472" s="4" t="n">
        <v>2012</v>
      </c>
      <c r="F472" s="4" t="s">
        <v>527</v>
      </c>
      <c r="G472" s="13" t="n">
        <v>45.17</v>
      </c>
      <c r="I472" s="4" t="s">
        <v>818</v>
      </c>
      <c r="J472" s="4" t="n">
        <v>994</v>
      </c>
    </row>
    <row r="473" customFormat="false" ht="15.8" hidden="false" customHeight="false" outlineLevel="0" collapsed="false">
      <c r="A473" s="4" t="s">
        <v>755</v>
      </c>
      <c r="B473" s="4" t="s">
        <v>497</v>
      </c>
      <c r="C473" s="4" t="s">
        <v>756</v>
      </c>
      <c r="D473" s="4" t="s">
        <v>664</v>
      </c>
      <c r="E473" s="4" t="n">
        <v>2011</v>
      </c>
      <c r="F473" s="4" t="s">
        <v>527</v>
      </c>
      <c r="G473" s="13" t="n">
        <v>46.9451065629578</v>
      </c>
      <c r="I473" s="4" t="s">
        <v>851</v>
      </c>
      <c r="J473" s="4" t="n">
        <v>995</v>
      </c>
    </row>
    <row r="474" customFormat="false" ht="15.8" hidden="false" customHeight="false" outlineLevel="0" collapsed="false">
      <c r="A474" s="4" t="s">
        <v>755</v>
      </c>
      <c r="B474" s="4" t="s">
        <v>497</v>
      </c>
      <c r="C474" s="4" t="s">
        <v>756</v>
      </c>
      <c r="D474" s="4" t="s">
        <v>664</v>
      </c>
      <c r="E474" s="4" t="n">
        <v>2008</v>
      </c>
      <c r="F474" s="4" t="s">
        <v>538</v>
      </c>
      <c r="G474" s="13" t="n">
        <v>58.3333333333333</v>
      </c>
      <c r="I474" s="4" t="s">
        <v>617</v>
      </c>
      <c r="J474" s="4" t="n">
        <v>996</v>
      </c>
    </row>
    <row r="475" customFormat="false" ht="15.8" hidden="false" customHeight="false" outlineLevel="0" collapsed="false">
      <c r="A475" s="4" t="s">
        <v>755</v>
      </c>
      <c r="B475" s="4" t="s">
        <v>497</v>
      </c>
      <c r="C475" s="4" t="s">
        <v>756</v>
      </c>
      <c r="D475" s="4" t="s">
        <v>664</v>
      </c>
      <c r="E475" s="4" t="n">
        <v>2012</v>
      </c>
      <c r="F475" s="4" t="s">
        <v>544</v>
      </c>
      <c r="G475" s="13" t="n">
        <v>64</v>
      </c>
      <c r="I475" s="4" t="s">
        <v>825</v>
      </c>
      <c r="J475" s="4" t="n">
        <v>997</v>
      </c>
    </row>
    <row r="476" customFormat="false" ht="15.8" hidden="false" customHeight="false" outlineLevel="0" collapsed="false">
      <c r="A476" s="4" t="s">
        <v>755</v>
      </c>
      <c r="B476" s="4" t="s">
        <v>497</v>
      </c>
      <c r="C476" s="4" t="s">
        <v>756</v>
      </c>
      <c r="D476" s="4" t="s">
        <v>877</v>
      </c>
      <c r="E476" s="4" t="n">
        <v>2013</v>
      </c>
      <c r="F476" s="4" t="s">
        <v>538</v>
      </c>
      <c r="G476" s="13" t="n">
        <v>69.0647482014389</v>
      </c>
      <c r="I476" s="4" t="s">
        <v>779</v>
      </c>
      <c r="J476" s="4" t="n">
        <v>998</v>
      </c>
    </row>
    <row r="477" customFormat="false" ht="15.8" hidden="false" customHeight="false" outlineLevel="0" collapsed="false">
      <c r="A477" s="4" t="s">
        <v>755</v>
      </c>
      <c r="B477" s="4" t="s">
        <v>497</v>
      </c>
      <c r="C477" s="4" t="s">
        <v>756</v>
      </c>
      <c r="D477" s="4" t="s">
        <v>878</v>
      </c>
      <c r="E477" s="4" t="n">
        <v>2013</v>
      </c>
      <c r="F477" s="4" t="s">
        <v>538</v>
      </c>
      <c r="G477" s="13" t="n">
        <v>69.0647482014389</v>
      </c>
      <c r="I477" s="4" t="s">
        <v>779</v>
      </c>
      <c r="J477" s="4" t="n">
        <v>999</v>
      </c>
    </row>
    <row r="478" customFormat="false" ht="15.8" hidden="false" customHeight="false" outlineLevel="0" collapsed="false">
      <c r="A478" s="4" t="s">
        <v>755</v>
      </c>
      <c r="B478" s="4" t="s">
        <v>497</v>
      </c>
      <c r="C478" s="4" t="s">
        <v>756</v>
      </c>
      <c r="D478" s="4" t="s">
        <v>879</v>
      </c>
      <c r="E478" s="4" t="n">
        <v>2013</v>
      </c>
      <c r="F478" s="4" t="s">
        <v>538</v>
      </c>
      <c r="G478" s="13" t="n">
        <v>100.719424460432</v>
      </c>
      <c r="I478" s="4" t="s">
        <v>779</v>
      </c>
      <c r="J478" s="4" t="n">
        <v>1000</v>
      </c>
    </row>
    <row r="479" customFormat="false" ht="15.8" hidden="false" customHeight="false" outlineLevel="0" collapsed="false">
      <c r="A479" s="4" t="s">
        <v>755</v>
      </c>
      <c r="B479" s="4" t="s">
        <v>497</v>
      </c>
      <c r="C479" s="4" t="s">
        <v>756</v>
      </c>
      <c r="D479" s="4" t="s">
        <v>880</v>
      </c>
      <c r="E479" s="4" t="n">
        <v>2013</v>
      </c>
      <c r="F479" s="4" t="s">
        <v>538</v>
      </c>
      <c r="G479" s="13" t="n">
        <v>109.352517985612</v>
      </c>
      <c r="I479" s="4" t="s">
        <v>779</v>
      </c>
      <c r="J479" s="4" t="n">
        <v>1001</v>
      </c>
    </row>
    <row r="480" customFormat="false" ht="15.8" hidden="false" customHeight="false" outlineLevel="0" collapsed="false">
      <c r="A480" s="4" t="s">
        <v>755</v>
      </c>
      <c r="B480" s="4" t="s">
        <v>497</v>
      </c>
      <c r="C480" s="4" t="s">
        <v>756</v>
      </c>
      <c r="D480" s="4" t="s">
        <v>153</v>
      </c>
      <c r="E480" s="4" t="n">
        <v>2005</v>
      </c>
      <c r="F480" s="4" t="s">
        <v>583</v>
      </c>
      <c r="H480" s="4" t="s">
        <v>881</v>
      </c>
      <c r="I480" s="4" t="s">
        <v>882</v>
      </c>
      <c r="J480" s="4" t="n">
        <v>1002</v>
      </c>
    </row>
    <row r="481" customFormat="false" ht="15.8" hidden="false" customHeight="false" outlineLevel="0" collapsed="false">
      <c r="A481" s="4" t="s">
        <v>755</v>
      </c>
      <c r="B481" s="4" t="s">
        <v>497</v>
      </c>
      <c r="C481" s="4" t="s">
        <v>756</v>
      </c>
      <c r="D481" s="4" t="s">
        <v>103</v>
      </c>
      <c r="E481" s="4" t="n">
        <v>2008</v>
      </c>
      <c r="F481" s="4" t="s">
        <v>538</v>
      </c>
      <c r="H481" s="4" t="s">
        <v>883</v>
      </c>
      <c r="I481" s="4" t="s">
        <v>617</v>
      </c>
      <c r="J481" s="4" t="n">
        <v>1003</v>
      </c>
    </row>
    <row r="482" customFormat="false" ht="15.8" hidden="false" customHeight="false" outlineLevel="0" collapsed="false">
      <c r="A482" s="4" t="s">
        <v>755</v>
      </c>
      <c r="B482" s="4" t="s">
        <v>884</v>
      </c>
      <c r="C482" s="4" t="s">
        <v>506</v>
      </c>
      <c r="D482" s="4" t="s">
        <v>120</v>
      </c>
      <c r="E482" s="4" t="n">
        <v>2011</v>
      </c>
      <c r="F482" s="4" t="s">
        <v>527</v>
      </c>
      <c r="G482" s="13" t="n">
        <v>1.05974025974026</v>
      </c>
      <c r="H482" s="4" t="s">
        <v>770</v>
      </c>
      <c r="I482" s="4" t="s">
        <v>598</v>
      </c>
      <c r="J482" s="4" t="n">
        <v>1014</v>
      </c>
    </row>
    <row r="483" customFormat="false" ht="15.8" hidden="false" customHeight="false" outlineLevel="0" collapsed="false">
      <c r="A483" s="4" t="s">
        <v>755</v>
      </c>
      <c r="B483" s="4" t="s">
        <v>884</v>
      </c>
      <c r="C483" s="4" t="s">
        <v>506</v>
      </c>
      <c r="D483" s="4" t="s">
        <v>121</v>
      </c>
      <c r="E483" s="4" t="n">
        <v>2011</v>
      </c>
      <c r="F483" s="4" t="s">
        <v>527</v>
      </c>
      <c r="G483" s="13" t="n">
        <v>1.70909090909091</v>
      </c>
      <c r="H483" s="4" t="s">
        <v>770</v>
      </c>
      <c r="I483" s="4" t="s">
        <v>598</v>
      </c>
      <c r="J483" s="4" t="n">
        <v>1015</v>
      </c>
    </row>
    <row r="484" customFormat="false" ht="15.8" hidden="false" customHeight="false" outlineLevel="0" collapsed="false">
      <c r="A484" s="4" t="s">
        <v>755</v>
      </c>
      <c r="B484" s="4" t="s">
        <v>884</v>
      </c>
      <c r="C484" s="4" t="s">
        <v>506</v>
      </c>
      <c r="D484" s="4" t="s">
        <v>109</v>
      </c>
      <c r="E484" s="4" t="n">
        <v>2011</v>
      </c>
      <c r="F484" s="4" t="s">
        <v>527</v>
      </c>
      <c r="G484" s="13" t="n">
        <v>1.83896103896104</v>
      </c>
      <c r="I484" s="4" t="s">
        <v>598</v>
      </c>
      <c r="J484" s="4" t="n">
        <v>1016</v>
      </c>
    </row>
    <row r="485" customFormat="false" ht="15.8" hidden="false" customHeight="false" outlineLevel="0" collapsed="false">
      <c r="A485" s="4" t="s">
        <v>755</v>
      </c>
      <c r="B485" s="4" t="s">
        <v>884</v>
      </c>
      <c r="C485" s="4" t="s">
        <v>506</v>
      </c>
      <c r="D485" s="4" t="s">
        <v>664</v>
      </c>
      <c r="E485" s="4" t="n">
        <v>2010</v>
      </c>
      <c r="F485" s="4" t="s">
        <v>544</v>
      </c>
      <c r="G485" s="13" t="n">
        <v>1.97311688311688</v>
      </c>
      <c r="H485" s="4" t="s">
        <v>885</v>
      </c>
      <c r="I485" s="4" t="s">
        <v>886</v>
      </c>
      <c r="J485" s="4" t="n">
        <v>1017</v>
      </c>
    </row>
    <row r="486" customFormat="false" ht="15.8" hidden="false" customHeight="false" outlineLevel="0" collapsed="false">
      <c r="A486" s="4" t="s">
        <v>755</v>
      </c>
      <c r="B486" s="4" t="s">
        <v>884</v>
      </c>
      <c r="C486" s="4" t="s">
        <v>506</v>
      </c>
      <c r="D486" s="4" t="s">
        <v>131</v>
      </c>
      <c r="E486" s="4" t="n">
        <v>2011</v>
      </c>
      <c r="F486" s="4" t="s">
        <v>527</v>
      </c>
      <c r="G486" s="13" t="n">
        <v>2.25454545454546</v>
      </c>
      <c r="I486" s="4" t="s">
        <v>598</v>
      </c>
      <c r="J486" s="4" t="n">
        <v>1018</v>
      </c>
    </row>
    <row r="487" customFormat="false" ht="15.8" hidden="false" customHeight="false" outlineLevel="0" collapsed="false">
      <c r="A487" s="4" t="s">
        <v>755</v>
      </c>
      <c r="B487" s="4" t="s">
        <v>884</v>
      </c>
      <c r="C487" s="4" t="s">
        <v>506</v>
      </c>
      <c r="D487" s="4" t="s">
        <v>107</v>
      </c>
      <c r="E487" s="4" t="n">
        <v>2011</v>
      </c>
      <c r="F487" s="4" t="s">
        <v>527</v>
      </c>
      <c r="G487" s="13" t="n">
        <v>2.29350649350649</v>
      </c>
      <c r="I487" s="4" t="s">
        <v>598</v>
      </c>
      <c r="J487" s="4" t="n">
        <v>1019</v>
      </c>
    </row>
    <row r="488" customFormat="false" ht="15.8" hidden="false" customHeight="false" outlineLevel="0" collapsed="false">
      <c r="A488" s="4" t="s">
        <v>755</v>
      </c>
      <c r="B488" s="4" t="s">
        <v>884</v>
      </c>
      <c r="C488" s="4" t="s">
        <v>506</v>
      </c>
      <c r="D488" s="4" t="s">
        <v>111</v>
      </c>
      <c r="E488" s="4" t="n">
        <v>2011</v>
      </c>
      <c r="F488" s="4" t="s">
        <v>527</v>
      </c>
      <c r="G488" s="13" t="n">
        <v>2.29350649350649</v>
      </c>
      <c r="I488" s="4" t="s">
        <v>598</v>
      </c>
      <c r="J488" s="4" t="n">
        <v>1020</v>
      </c>
    </row>
    <row r="489" customFormat="false" ht="15.8" hidden="false" customHeight="false" outlineLevel="0" collapsed="false">
      <c r="A489" s="4" t="s">
        <v>755</v>
      </c>
      <c r="B489" s="4" t="s">
        <v>884</v>
      </c>
      <c r="C489" s="4" t="s">
        <v>506</v>
      </c>
      <c r="D489" s="4" t="s">
        <v>128</v>
      </c>
      <c r="E489" s="4" t="n">
        <v>2011</v>
      </c>
      <c r="F489" s="4" t="s">
        <v>527</v>
      </c>
      <c r="G489" s="13" t="n">
        <v>2.35844155844156</v>
      </c>
      <c r="I489" s="4" t="s">
        <v>598</v>
      </c>
      <c r="J489" s="4" t="n">
        <v>1021</v>
      </c>
    </row>
    <row r="490" customFormat="false" ht="15.8" hidden="false" customHeight="false" outlineLevel="0" collapsed="false">
      <c r="A490" s="4" t="s">
        <v>755</v>
      </c>
      <c r="B490" s="4" t="s">
        <v>884</v>
      </c>
      <c r="C490" s="4" t="s">
        <v>506</v>
      </c>
      <c r="D490" s="4" t="s">
        <v>96</v>
      </c>
      <c r="E490" s="4" t="n">
        <v>2011</v>
      </c>
      <c r="F490" s="4" t="s">
        <v>527</v>
      </c>
      <c r="G490" s="13" t="n">
        <v>2.46233766233766</v>
      </c>
      <c r="I490" s="4" t="s">
        <v>598</v>
      </c>
      <c r="J490" s="4" t="n">
        <v>1022</v>
      </c>
    </row>
    <row r="491" customFormat="false" ht="15.8" hidden="false" customHeight="false" outlineLevel="0" collapsed="false">
      <c r="A491" s="4" t="s">
        <v>755</v>
      </c>
      <c r="B491" s="4" t="s">
        <v>884</v>
      </c>
      <c r="C491" s="4" t="s">
        <v>506</v>
      </c>
      <c r="D491" s="4" t="s">
        <v>131</v>
      </c>
      <c r="E491" s="4" t="n">
        <v>2009</v>
      </c>
      <c r="F491" s="4" t="s">
        <v>887</v>
      </c>
      <c r="G491" s="13" t="n">
        <v>2.5</v>
      </c>
      <c r="I491" s="4" t="s">
        <v>840</v>
      </c>
      <c r="J491" s="4" t="n">
        <v>1023</v>
      </c>
    </row>
    <row r="492" customFormat="false" ht="15.8" hidden="false" customHeight="false" outlineLevel="0" collapsed="false">
      <c r="A492" s="4" t="s">
        <v>755</v>
      </c>
      <c r="B492" s="4" t="s">
        <v>884</v>
      </c>
      <c r="C492" s="4" t="s">
        <v>506</v>
      </c>
      <c r="D492" s="4" t="s">
        <v>104</v>
      </c>
      <c r="E492" s="4" t="n">
        <v>2011</v>
      </c>
      <c r="F492" s="4" t="s">
        <v>527</v>
      </c>
      <c r="G492" s="13" t="n">
        <v>2.54025974025974</v>
      </c>
      <c r="I492" s="4" t="s">
        <v>598</v>
      </c>
      <c r="J492" s="4" t="n">
        <v>1024</v>
      </c>
    </row>
    <row r="493" customFormat="false" ht="15.8" hidden="false" customHeight="false" outlineLevel="0" collapsed="false">
      <c r="A493" s="4" t="s">
        <v>755</v>
      </c>
      <c r="B493" s="4" t="s">
        <v>884</v>
      </c>
      <c r="C493" s="4" t="s">
        <v>506</v>
      </c>
      <c r="D493" s="4" t="s">
        <v>129</v>
      </c>
      <c r="E493" s="4" t="n">
        <v>2011</v>
      </c>
      <c r="F493" s="4" t="s">
        <v>527</v>
      </c>
      <c r="G493" s="13" t="n">
        <v>2.54025974025974</v>
      </c>
      <c r="I493" s="4" t="s">
        <v>598</v>
      </c>
      <c r="J493" s="4" t="n">
        <v>1025</v>
      </c>
    </row>
    <row r="494" customFormat="false" ht="15.8" hidden="false" customHeight="false" outlineLevel="0" collapsed="false">
      <c r="A494" s="4" t="s">
        <v>755</v>
      </c>
      <c r="B494" s="4" t="s">
        <v>884</v>
      </c>
      <c r="C494" s="4" t="s">
        <v>506</v>
      </c>
      <c r="D494" s="4" t="s">
        <v>888</v>
      </c>
      <c r="E494" s="4" t="n">
        <v>2012</v>
      </c>
      <c r="F494" s="4" t="s">
        <v>538</v>
      </c>
      <c r="G494" s="13" t="n">
        <v>2.59454545454545</v>
      </c>
      <c r="I494" s="4" t="s">
        <v>889</v>
      </c>
      <c r="J494" s="4" t="n">
        <v>1026</v>
      </c>
    </row>
    <row r="495" customFormat="false" ht="15.8" hidden="false" customHeight="false" outlineLevel="0" collapsed="false">
      <c r="A495" s="4" t="s">
        <v>755</v>
      </c>
      <c r="B495" s="4" t="s">
        <v>884</v>
      </c>
      <c r="C495" s="4" t="s">
        <v>506</v>
      </c>
      <c r="D495" s="4" t="s">
        <v>133</v>
      </c>
      <c r="E495" s="4" t="n">
        <v>2010</v>
      </c>
      <c r="F495" s="4" t="s">
        <v>538</v>
      </c>
      <c r="G495" s="13" t="n">
        <v>2.6</v>
      </c>
      <c r="I495" s="4" t="s">
        <v>612</v>
      </c>
      <c r="J495" s="4" t="n">
        <v>1027</v>
      </c>
    </row>
    <row r="496" customFormat="false" ht="15.8" hidden="false" customHeight="false" outlineLevel="0" collapsed="false">
      <c r="A496" s="4" t="s">
        <v>755</v>
      </c>
      <c r="B496" s="4" t="s">
        <v>884</v>
      </c>
      <c r="C496" s="4" t="s">
        <v>506</v>
      </c>
      <c r="D496" s="4" t="s">
        <v>890</v>
      </c>
      <c r="E496" s="4" t="n">
        <v>2006</v>
      </c>
      <c r="F496" s="4" t="s">
        <v>527</v>
      </c>
      <c r="G496" s="13" t="n">
        <v>2.63740740740741</v>
      </c>
      <c r="I496" s="4" t="s">
        <v>891</v>
      </c>
      <c r="J496" s="4" t="n">
        <v>1028</v>
      </c>
    </row>
    <row r="497" customFormat="false" ht="15.8" hidden="false" customHeight="false" outlineLevel="0" collapsed="false">
      <c r="A497" s="4" t="s">
        <v>755</v>
      </c>
      <c r="B497" s="4" t="s">
        <v>884</v>
      </c>
      <c r="C497" s="4" t="s">
        <v>506</v>
      </c>
      <c r="D497" s="4" t="s">
        <v>892</v>
      </c>
      <c r="E497" s="4" t="n">
        <v>2014</v>
      </c>
      <c r="F497" s="4" t="s">
        <v>527</v>
      </c>
      <c r="G497" s="13" t="n">
        <v>2.67246753246753</v>
      </c>
      <c r="I497" s="4" t="s">
        <v>893</v>
      </c>
      <c r="J497" s="4" t="n">
        <v>1029</v>
      </c>
    </row>
    <row r="498" customFormat="false" ht="15.8" hidden="false" customHeight="false" outlineLevel="0" collapsed="false">
      <c r="A498" s="4" t="s">
        <v>755</v>
      </c>
      <c r="B498" s="4" t="s">
        <v>884</v>
      </c>
      <c r="C498" s="4" t="s">
        <v>506</v>
      </c>
      <c r="D498" s="4" t="s">
        <v>894</v>
      </c>
      <c r="E498" s="4" t="n">
        <v>2006</v>
      </c>
      <c r="F498" s="4" t="s">
        <v>527</v>
      </c>
      <c r="G498" s="13" t="n">
        <v>2.69296296296296</v>
      </c>
      <c r="I498" s="4" t="s">
        <v>891</v>
      </c>
      <c r="J498" s="4" t="n">
        <v>1030</v>
      </c>
    </row>
    <row r="499" customFormat="false" ht="15.8" hidden="false" customHeight="false" outlineLevel="0" collapsed="false">
      <c r="A499" s="4" t="s">
        <v>755</v>
      </c>
      <c r="B499" s="4" t="s">
        <v>884</v>
      </c>
      <c r="C499" s="4" t="s">
        <v>506</v>
      </c>
      <c r="D499" s="4" t="s">
        <v>477</v>
      </c>
      <c r="E499" s="4" t="n">
        <v>2008</v>
      </c>
      <c r="F499" s="4" t="s">
        <v>527</v>
      </c>
      <c r="G499" s="13" t="n">
        <v>2.7</v>
      </c>
      <c r="I499" s="4" t="s">
        <v>895</v>
      </c>
      <c r="J499" s="4" t="n">
        <v>1031</v>
      </c>
    </row>
    <row r="500" customFormat="false" ht="15.8" hidden="false" customHeight="false" outlineLevel="0" collapsed="false">
      <c r="A500" s="4" t="s">
        <v>755</v>
      </c>
      <c r="B500" s="4" t="s">
        <v>884</v>
      </c>
      <c r="C500" s="4" t="s">
        <v>506</v>
      </c>
      <c r="D500" s="4" t="s">
        <v>91</v>
      </c>
      <c r="E500" s="4" t="n">
        <v>2011</v>
      </c>
      <c r="F500" s="4" t="s">
        <v>527</v>
      </c>
      <c r="G500" s="13" t="n">
        <v>2.70909090909091</v>
      </c>
      <c r="I500" s="4" t="s">
        <v>598</v>
      </c>
      <c r="J500" s="4" t="n">
        <v>1032</v>
      </c>
    </row>
    <row r="501" customFormat="false" ht="15.8" hidden="false" customHeight="false" outlineLevel="0" collapsed="false">
      <c r="A501" s="4" t="s">
        <v>755</v>
      </c>
      <c r="B501" s="4" t="s">
        <v>884</v>
      </c>
      <c r="C501" s="4" t="s">
        <v>506</v>
      </c>
      <c r="D501" s="4" t="s">
        <v>102</v>
      </c>
      <c r="E501" s="4" t="n">
        <v>2011</v>
      </c>
      <c r="F501" s="4" t="s">
        <v>527</v>
      </c>
      <c r="G501" s="13" t="n">
        <v>2.73506493506494</v>
      </c>
      <c r="H501" s="4" t="s">
        <v>770</v>
      </c>
      <c r="I501" s="4" t="s">
        <v>598</v>
      </c>
      <c r="J501" s="4" t="n">
        <v>1033</v>
      </c>
    </row>
    <row r="502" customFormat="false" ht="15.8" hidden="false" customHeight="false" outlineLevel="0" collapsed="false">
      <c r="A502" s="4" t="s">
        <v>755</v>
      </c>
      <c r="B502" s="4" t="s">
        <v>884</v>
      </c>
      <c r="C502" s="4" t="s">
        <v>506</v>
      </c>
      <c r="D502" s="4" t="s">
        <v>896</v>
      </c>
      <c r="E502" s="4" t="n">
        <v>2014</v>
      </c>
      <c r="F502" s="4" t="s">
        <v>527</v>
      </c>
      <c r="G502" s="13" t="n">
        <v>2.74</v>
      </c>
      <c r="H502" s="4" t="s">
        <v>897</v>
      </c>
      <c r="I502" s="4" t="s">
        <v>777</v>
      </c>
      <c r="J502" s="4" t="n">
        <v>1034</v>
      </c>
    </row>
    <row r="503" customFormat="false" ht="15.8" hidden="false" customHeight="false" outlineLevel="0" collapsed="false">
      <c r="A503" s="4" t="s">
        <v>755</v>
      </c>
      <c r="B503" s="4" t="s">
        <v>884</v>
      </c>
      <c r="C503" s="4" t="s">
        <v>506</v>
      </c>
      <c r="D503" s="4" t="s">
        <v>131</v>
      </c>
      <c r="E503" s="4" t="n">
        <v>2014</v>
      </c>
      <c r="F503" s="4" t="s">
        <v>527</v>
      </c>
      <c r="G503" s="13" t="n">
        <v>2.74</v>
      </c>
      <c r="H503" s="4" t="s">
        <v>898</v>
      </c>
      <c r="I503" s="4" t="s">
        <v>777</v>
      </c>
      <c r="J503" s="4" t="n">
        <v>1035</v>
      </c>
    </row>
    <row r="504" customFormat="false" ht="15.8" hidden="false" customHeight="false" outlineLevel="0" collapsed="false">
      <c r="A504" s="4" t="s">
        <v>755</v>
      </c>
      <c r="B504" s="4" t="s">
        <v>884</v>
      </c>
      <c r="C504" s="4" t="s">
        <v>506</v>
      </c>
      <c r="D504" s="4" t="s">
        <v>894</v>
      </c>
      <c r="E504" s="4" t="n">
        <v>2001</v>
      </c>
      <c r="F504" s="4" t="s">
        <v>527</v>
      </c>
      <c r="G504" s="13" t="n">
        <v>2.74851851851852</v>
      </c>
      <c r="I504" s="4" t="s">
        <v>891</v>
      </c>
      <c r="J504" s="4" t="n">
        <v>1036</v>
      </c>
    </row>
    <row r="505" customFormat="false" ht="15.8" hidden="false" customHeight="false" outlineLevel="0" collapsed="false">
      <c r="A505" s="4" t="s">
        <v>755</v>
      </c>
      <c r="B505" s="4" t="s">
        <v>884</v>
      </c>
      <c r="C505" s="4" t="s">
        <v>506</v>
      </c>
      <c r="D505" s="4" t="s">
        <v>664</v>
      </c>
      <c r="E505" s="4" t="n">
        <v>2010</v>
      </c>
      <c r="F505" s="4" t="s">
        <v>544</v>
      </c>
      <c r="G505" s="13" t="n">
        <v>2.76532467532468</v>
      </c>
      <c r="H505" s="4" t="s">
        <v>899</v>
      </c>
      <c r="I505" s="4" t="s">
        <v>886</v>
      </c>
      <c r="J505" s="4" t="n">
        <v>1037</v>
      </c>
    </row>
    <row r="506" customFormat="false" ht="15.8" hidden="false" customHeight="false" outlineLevel="0" collapsed="false">
      <c r="A506" s="4" t="s">
        <v>755</v>
      </c>
      <c r="B506" s="4" t="s">
        <v>884</v>
      </c>
      <c r="C506" s="4" t="s">
        <v>506</v>
      </c>
      <c r="D506" s="4" t="s">
        <v>771</v>
      </c>
      <c r="E506" s="4" t="n">
        <v>2011</v>
      </c>
      <c r="F506" s="4" t="s">
        <v>527</v>
      </c>
      <c r="G506" s="13" t="n">
        <v>2.77402597402597</v>
      </c>
      <c r="I506" s="4" t="s">
        <v>598</v>
      </c>
      <c r="J506" s="4" t="n">
        <v>1038</v>
      </c>
    </row>
    <row r="507" customFormat="false" ht="15.8" hidden="false" customHeight="false" outlineLevel="0" collapsed="false">
      <c r="A507" s="4" t="s">
        <v>755</v>
      </c>
      <c r="B507" s="4" t="s">
        <v>884</v>
      </c>
      <c r="C507" s="4" t="s">
        <v>506</v>
      </c>
      <c r="D507" s="4" t="s">
        <v>103</v>
      </c>
      <c r="E507" s="4" t="n">
        <v>2008</v>
      </c>
      <c r="F507" s="4" t="s">
        <v>538</v>
      </c>
      <c r="G507" s="13" t="n">
        <v>2.77777777777778</v>
      </c>
      <c r="I507" s="4" t="s">
        <v>617</v>
      </c>
      <c r="J507" s="4" t="n">
        <v>1039</v>
      </c>
    </row>
    <row r="508" customFormat="false" ht="15.8" hidden="false" customHeight="false" outlineLevel="0" collapsed="false">
      <c r="A508" s="4" t="s">
        <v>755</v>
      </c>
      <c r="B508" s="4" t="s">
        <v>884</v>
      </c>
      <c r="C508" s="4" t="s">
        <v>506</v>
      </c>
      <c r="D508" s="4" t="s">
        <v>133</v>
      </c>
      <c r="E508" s="4" t="n">
        <v>2011</v>
      </c>
      <c r="F508" s="4" t="s">
        <v>527</v>
      </c>
      <c r="G508" s="13" t="n">
        <v>2.81298701298701</v>
      </c>
      <c r="I508" s="4" t="s">
        <v>598</v>
      </c>
      <c r="J508" s="4" t="n">
        <v>1040</v>
      </c>
    </row>
    <row r="509" customFormat="false" ht="15.8" hidden="false" customHeight="false" outlineLevel="0" collapsed="false">
      <c r="A509" s="4" t="s">
        <v>755</v>
      </c>
      <c r="B509" s="4" t="s">
        <v>884</v>
      </c>
      <c r="C509" s="4" t="s">
        <v>506</v>
      </c>
      <c r="D509" s="4" t="s">
        <v>133</v>
      </c>
      <c r="E509" s="4" t="n">
        <v>2010</v>
      </c>
      <c r="F509" s="4" t="s">
        <v>538</v>
      </c>
      <c r="G509" s="13" t="n">
        <v>2.84</v>
      </c>
      <c r="I509" s="4" t="s">
        <v>612</v>
      </c>
      <c r="J509" s="4" t="n">
        <v>1041</v>
      </c>
    </row>
    <row r="510" customFormat="false" ht="15.8" hidden="false" customHeight="false" outlineLevel="0" collapsed="false">
      <c r="A510" s="4" t="s">
        <v>755</v>
      </c>
      <c r="B510" s="4" t="s">
        <v>884</v>
      </c>
      <c r="C510" s="4" t="s">
        <v>506</v>
      </c>
      <c r="D510" s="4" t="s">
        <v>890</v>
      </c>
      <c r="E510" s="4" t="n">
        <v>2001</v>
      </c>
      <c r="F510" s="4" t="s">
        <v>527</v>
      </c>
      <c r="G510" s="13" t="n">
        <v>2.85962962962963</v>
      </c>
      <c r="I510" s="4" t="s">
        <v>891</v>
      </c>
      <c r="J510" s="4" t="n">
        <v>1042</v>
      </c>
    </row>
    <row r="511" customFormat="false" ht="15.8" hidden="false" customHeight="false" outlineLevel="0" collapsed="false">
      <c r="A511" s="4" t="s">
        <v>755</v>
      </c>
      <c r="B511" s="4" t="s">
        <v>884</v>
      </c>
      <c r="C511" s="4" t="s">
        <v>506</v>
      </c>
      <c r="D511" s="4" t="s">
        <v>153</v>
      </c>
      <c r="E511" s="4" t="n">
        <v>2011</v>
      </c>
      <c r="F511" s="4" t="s">
        <v>544</v>
      </c>
      <c r="G511" s="13" t="n">
        <v>2.9</v>
      </c>
      <c r="I511" s="4" t="s">
        <v>817</v>
      </c>
      <c r="J511" s="4" t="n">
        <v>1043</v>
      </c>
    </row>
    <row r="512" customFormat="false" ht="15.8" hidden="false" customHeight="false" outlineLevel="0" collapsed="false">
      <c r="A512" s="4" t="s">
        <v>755</v>
      </c>
      <c r="B512" s="4" t="s">
        <v>884</v>
      </c>
      <c r="C512" s="4" t="s">
        <v>506</v>
      </c>
      <c r="D512" s="4" t="s">
        <v>900</v>
      </c>
      <c r="E512" s="4" t="n">
        <v>2009</v>
      </c>
      <c r="F512" s="4" t="s">
        <v>538</v>
      </c>
      <c r="G512" s="13" t="n">
        <v>2.95</v>
      </c>
      <c r="I512" s="4" t="s">
        <v>612</v>
      </c>
      <c r="J512" s="4" t="n">
        <v>1044</v>
      </c>
    </row>
    <row r="513" customFormat="false" ht="15.8" hidden="false" customHeight="false" outlineLevel="0" collapsed="false">
      <c r="A513" s="4" t="s">
        <v>755</v>
      </c>
      <c r="B513" s="4" t="s">
        <v>884</v>
      </c>
      <c r="C513" s="4" t="s">
        <v>506</v>
      </c>
      <c r="D513" s="4" t="s">
        <v>664</v>
      </c>
      <c r="E513" s="4" t="n">
        <v>2008</v>
      </c>
      <c r="F513" s="4" t="s">
        <v>538</v>
      </c>
      <c r="G513" s="13" t="n">
        <v>2.96052631578947</v>
      </c>
      <c r="I513" s="4" t="s">
        <v>617</v>
      </c>
      <c r="J513" s="4" t="n">
        <v>1045</v>
      </c>
    </row>
    <row r="514" customFormat="false" ht="15.8" hidden="false" customHeight="false" outlineLevel="0" collapsed="false">
      <c r="A514" s="4" t="s">
        <v>755</v>
      </c>
      <c r="B514" s="4" t="s">
        <v>884</v>
      </c>
      <c r="C514" s="4" t="s">
        <v>506</v>
      </c>
      <c r="D514" s="4" t="s">
        <v>91</v>
      </c>
      <c r="E514" s="4" t="n">
        <v>2010</v>
      </c>
      <c r="F514" s="4" t="s">
        <v>544</v>
      </c>
      <c r="G514" s="13" t="n">
        <v>2.97311688311688</v>
      </c>
      <c r="I514" s="4" t="s">
        <v>886</v>
      </c>
      <c r="J514" s="4" t="n">
        <v>1046</v>
      </c>
    </row>
    <row r="515" customFormat="false" ht="15.8" hidden="false" customHeight="false" outlineLevel="0" collapsed="false">
      <c r="A515" s="4" t="s">
        <v>755</v>
      </c>
      <c r="B515" s="4" t="s">
        <v>884</v>
      </c>
      <c r="C515" s="4" t="s">
        <v>506</v>
      </c>
      <c r="D515" s="4" t="s">
        <v>153</v>
      </c>
      <c r="E515" s="4" t="n">
        <v>2012</v>
      </c>
      <c r="F515" s="4" t="s">
        <v>538</v>
      </c>
      <c r="G515" s="13" t="n">
        <v>2.98415584415584</v>
      </c>
      <c r="H515" s="4" t="s">
        <v>901</v>
      </c>
      <c r="I515" s="4" t="s">
        <v>889</v>
      </c>
      <c r="J515" s="4" t="n">
        <v>1047</v>
      </c>
    </row>
    <row r="516" customFormat="false" ht="15.8" hidden="false" customHeight="false" outlineLevel="0" collapsed="false">
      <c r="A516" s="4" t="s">
        <v>755</v>
      </c>
      <c r="B516" s="4" t="s">
        <v>884</v>
      </c>
      <c r="C516" s="4" t="s">
        <v>506</v>
      </c>
      <c r="D516" s="4" t="s">
        <v>153</v>
      </c>
      <c r="E516" s="4" t="n">
        <v>2012</v>
      </c>
      <c r="F516" s="4" t="s">
        <v>538</v>
      </c>
      <c r="G516" s="13" t="n">
        <v>3.09090909090909</v>
      </c>
      <c r="I516" s="4" t="s">
        <v>889</v>
      </c>
      <c r="J516" s="4" t="n">
        <v>1048</v>
      </c>
    </row>
    <row r="517" customFormat="false" ht="15.8" hidden="false" customHeight="false" outlineLevel="0" collapsed="false">
      <c r="A517" s="4" t="s">
        <v>755</v>
      </c>
      <c r="B517" s="4" t="s">
        <v>884</v>
      </c>
      <c r="C517" s="4" t="s">
        <v>506</v>
      </c>
      <c r="D517" s="4" t="s">
        <v>126</v>
      </c>
      <c r="E517" s="4" t="n">
        <v>2011</v>
      </c>
      <c r="F517" s="4" t="s">
        <v>527</v>
      </c>
      <c r="G517" s="13" t="n">
        <v>3.13766233766234</v>
      </c>
      <c r="I517" s="4" t="s">
        <v>598</v>
      </c>
      <c r="J517" s="4" t="n">
        <v>1049</v>
      </c>
    </row>
    <row r="518" customFormat="false" ht="15.8" hidden="false" customHeight="false" outlineLevel="0" collapsed="false">
      <c r="A518" s="4" t="s">
        <v>755</v>
      </c>
      <c r="B518" s="4" t="s">
        <v>884</v>
      </c>
      <c r="C518" s="4" t="s">
        <v>506</v>
      </c>
      <c r="D518" s="4" t="s">
        <v>902</v>
      </c>
      <c r="E518" s="4" t="n">
        <v>2011</v>
      </c>
      <c r="F518" s="4" t="s">
        <v>538</v>
      </c>
      <c r="G518" s="13" t="n">
        <v>3.14</v>
      </c>
      <c r="H518" s="4" t="s">
        <v>903</v>
      </c>
      <c r="I518" s="4" t="s">
        <v>904</v>
      </c>
      <c r="J518" s="4" t="n">
        <v>1050</v>
      </c>
    </row>
    <row r="519" customFormat="false" ht="15.8" hidden="false" customHeight="false" outlineLevel="0" collapsed="false">
      <c r="A519" s="4" t="s">
        <v>755</v>
      </c>
      <c r="B519" s="4" t="s">
        <v>884</v>
      </c>
      <c r="C519" s="4" t="s">
        <v>506</v>
      </c>
      <c r="D519" s="4" t="s">
        <v>115</v>
      </c>
      <c r="E519" s="4" t="n">
        <v>2008</v>
      </c>
      <c r="F519" s="4" t="s">
        <v>544</v>
      </c>
      <c r="G519" s="13" t="n">
        <v>3.2</v>
      </c>
      <c r="I519" s="4" t="s">
        <v>905</v>
      </c>
      <c r="J519" s="4" t="n">
        <v>1051</v>
      </c>
    </row>
    <row r="520" customFormat="false" ht="15.8" hidden="false" customHeight="false" outlineLevel="0" collapsed="false">
      <c r="A520" s="4" t="s">
        <v>755</v>
      </c>
      <c r="B520" s="4" t="s">
        <v>884</v>
      </c>
      <c r="C520" s="4" t="s">
        <v>506</v>
      </c>
      <c r="D520" s="4" t="s">
        <v>131</v>
      </c>
      <c r="E520" s="4" t="n">
        <v>2011</v>
      </c>
      <c r="F520" s="4" t="s">
        <v>527</v>
      </c>
      <c r="G520" s="13" t="n">
        <v>3.24675324675325</v>
      </c>
      <c r="I520" s="4" t="s">
        <v>906</v>
      </c>
      <c r="J520" s="4" t="n">
        <v>1052</v>
      </c>
    </row>
    <row r="521" customFormat="false" ht="15.8" hidden="false" customHeight="false" outlineLevel="0" collapsed="false">
      <c r="A521" s="4" t="s">
        <v>755</v>
      </c>
      <c r="B521" s="4" t="s">
        <v>884</v>
      </c>
      <c r="C521" s="4" t="s">
        <v>506</v>
      </c>
      <c r="D521" s="4" t="s">
        <v>477</v>
      </c>
      <c r="E521" s="4" t="n">
        <v>2011</v>
      </c>
      <c r="F521" s="4" t="s">
        <v>538</v>
      </c>
      <c r="G521" s="13" t="n">
        <v>3.27695373816117</v>
      </c>
      <c r="I521" s="4" t="s">
        <v>907</v>
      </c>
      <c r="J521" s="4" t="n">
        <v>1053</v>
      </c>
    </row>
    <row r="522" customFormat="false" ht="15.8" hidden="false" customHeight="false" outlineLevel="0" collapsed="false">
      <c r="A522" s="4" t="s">
        <v>755</v>
      </c>
      <c r="B522" s="4" t="s">
        <v>884</v>
      </c>
      <c r="C522" s="4" t="s">
        <v>506</v>
      </c>
      <c r="D522" s="4" t="s">
        <v>119</v>
      </c>
      <c r="E522" s="4" t="n">
        <v>2011</v>
      </c>
      <c r="F522" s="4" t="s">
        <v>527</v>
      </c>
      <c r="G522" s="13" t="n">
        <v>3.33246753246753</v>
      </c>
      <c r="I522" s="4" t="s">
        <v>598</v>
      </c>
      <c r="J522" s="4" t="n">
        <v>1054</v>
      </c>
    </row>
    <row r="523" customFormat="false" ht="15.8" hidden="false" customHeight="false" outlineLevel="0" collapsed="false">
      <c r="A523" s="4" t="s">
        <v>755</v>
      </c>
      <c r="B523" s="4" t="s">
        <v>884</v>
      </c>
      <c r="C523" s="4" t="s">
        <v>506</v>
      </c>
      <c r="D523" s="4" t="s">
        <v>753</v>
      </c>
      <c r="E523" s="4" t="n">
        <v>2008</v>
      </c>
      <c r="F523" s="4" t="s">
        <v>527</v>
      </c>
      <c r="G523" s="13" t="n">
        <v>3.34</v>
      </c>
      <c r="I523" s="4" t="s">
        <v>754</v>
      </c>
      <c r="J523" s="4" t="n">
        <v>1055</v>
      </c>
    </row>
    <row r="524" customFormat="false" ht="15.8" hidden="false" customHeight="false" outlineLevel="0" collapsed="false">
      <c r="A524" s="4" t="s">
        <v>755</v>
      </c>
      <c r="B524" s="4" t="s">
        <v>884</v>
      </c>
      <c r="C524" s="4" t="s">
        <v>506</v>
      </c>
      <c r="D524" s="4" t="s">
        <v>477</v>
      </c>
      <c r="E524" s="4" t="n">
        <v>2013</v>
      </c>
      <c r="F524" s="4" t="s">
        <v>527</v>
      </c>
      <c r="G524" s="13" t="n">
        <v>3.44</v>
      </c>
      <c r="I524" s="4" t="s">
        <v>569</v>
      </c>
      <c r="J524" s="4" t="n">
        <v>1056</v>
      </c>
    </row>
    <row r="525" customFormat="false" ht="15.8" hidden="false" customHeight="false" outlineLevel="0" collapsed="false">
      <c r="A525" s="4" t="s">
        <v>755</v>
      </c>
      <c r="B525" s="4" t="s">
        <v>884</v>
      </c>
      <c r="C525" s="4" t="s">
        <v>506</v>
      </c>
      <c r="D525" s="4" t="s">
        <v>153</v>
      </c>
      <c r="E525" s="4" t="n">
        <v>2013</v>
      </c>
      <c r="F525" s="4" t="s">
        <v>527</v>
      </c>
      <c r="G525" s="13" t="n">
        <v>3.446</v>
      </c>
      <c r="H525" s="4" t="s">
        <v>908</v>
      </c>
      <c r="I525" s="4" t="s">
        <v>909</v>
      </c>
      <c r="J525" s="4" t="n">
        <v>1057</v>
      </c>
    </row>
    <row r="526" customFormat="false" ht="15.8" hidden="false" customHeight="false" outlineLevel="0" collapsed="false">
      <c r="A526" s="4" t="s">
        <v>755</v>
      </c>
      <c r="B526" s="4" t="s">
        <v>884</v>
      </c>
      <c r="C526" s="4" t="s">
        <v>506</v>
      </c>
      <c r="D526" s="4" t="s">
        <v>118</v>
      </c>
      <c r="E526" s="4" t="n">
        <v>2011</v>
      </c>
      <c r="F526" s="4" t="s">
        <v>527</v>
      </c>
      <c r="G526" s="13" t="n">
        <v>3.5012987012987</v>
      </c>
      <c r="H526" s="4" t="s">
        <v>770</v>
      </c>
      <c r="I526" s="4" t="s">
        <v>598</v>
      </c>
      <c r="J526" s="4" t="n">
        <v>1058</v>
      </c>
    </row>
    <row r="527" customFormat="false" ht="15.8" hidden="false" customHeight="false" outlineLevel="0" collapsed="false">
      <c r="A527" s="4" t="s">
        <v>755</v>
      </c>
      <c r="B527" s="4" t="s">
        <v>884</v>
      </c>
      <c r="C527" s="4" t="s">
        <v>506</v>
      </c>
      <c r="D527" s="4" t="s">
        <v>91</v>
      </c>
      <c r="E527" s="4" t="n">
        <v>2010</v>
      </c>
      <c r="F527" s="4" t="s">
        <v>544</v>
      </c>
      <c r="G527" s="13" t="n">
        <v>3.59649350649351</v>
      </c>
      <c r="I527" s="4" t="s">
        <v>886</v>
      </c>
      <c r="J527" s="4" t="n">
        <v>1059</v>
      </c>
    </row>
    <row r="528" customFormat="false" ht="15.8" hidden="false" customHeight="false" outlineLevel="0" collapsed="false">
      <c r="A528" s="4" t="s">
        <v>755</v>
      </c>
      <c r="B528" s="4" t="s">
        <v>884</v>
      </c>
      <c r="C528" s="4" t="s">
        <v>506</v>
      </c>
      <c r="D528" s="4" t="s">
        <v>103</v>
      </c>
      <c r="E528" s="4" t="n">
        <v>2011</v>
      </c>
      <c r="F528" s="4" t="s">
        <v>527</v>
      </c>
      <c r="G528" s="13" t="n">
        <v>3.6</v>
      </c>
      <c r="I528" s="4" t="s">
        <v>865</v>
      </c>
      <c r="J528" s="4" t="n">
        <v>1060</v>
      </c>
    </row>
    <row r="529" customFormat="false" ht="15.8" hidden="false" customHeight="false" outlineLevel="0" collapsed="false">
      <c r="A529" s="4" t="s">
        <v>755</v>
      </c>
      <c r="B529" s="4" t="s">
        <v>884</v>
      </c>
      <c r="C529" s="4" t="s">
        <v>506</v>
      </c>
      <c r="D529" s="4" t="s">
        <v>133</v>
      </c>
      <c r="E529" s="4" t="n">
        <v>2012</v>
      </c>
      <c r="F529" s="4" t="s">
        <v>544</v>
      </c>
      <c r="G529" s="13" t="n">
        <v>3.64649350649351</v>
      </c>
      <c r="I529" s="4" t="s">
        <v>591</v>
      </c>
      <c r="J529" s="4" t="n">
        <v>1061</v>
      </c>
    </row>
    <row r="530" customFormat="false" ht="15.8" hidden="false" customHeight="false" outlineLevel="0" collapsed="false">
      <c r="A530" s="4" t="s">
        <v>755</v>
      </c>
      <c r="B530" s="4" t="s">
        <v>884</v>
      </c>
      <c r="C530" s="4" t="s">
        <v>506</v>
      </c>
      <c r="D530" s="4" t="s">
        <v>153</v>
      </c>
      <c r="E530" s="4" t="n">
        <v>2013</v>
      </c>
      <c r="F530" s="4" t="s">
        <v>527</v>
      </c>
      <c r="G530" s="13" t="n">
        <v>3.707</v>
      </c>
      <c r="H530" s="4" t="s">
        <v>908</v>
      </c>
      <c r="I530" s="4" t="s">
        <v>909</v>
      </c>
      <c r="J530" s="4" t="n">
        <v>1062</v>
      </c>
    </row>
    <row r="531" customFormat="false" ht="15.8" hidden="false" customHeight="false" outlineLevel="0" collapsed="false">
      <c r="A531" s="4" t="s">
        <v>755</v>
      </c>
      <c r="B531" s="4" t="s">
        <v>884</v>
      </c>
      <c r="C531" s="4" t="s">
        <v>506</v>
      </c>
      <c r="D531" s="4" t="s">
        <v>664</v>
      </c>
      <c r="E531" s="4" t="n">
        <v>2014</v>
      </c>
      <c r="F531" s="4" t="s">
        <v>527</v>
      </c>
      <c r="G531" s="13" t="n">
        <v>3.71142857142857</v>
      </c>
      <c r="I531" s="4" t="s">
        <v>893</v>
      </c>
      <c r="J531" s="4" t="n">
        <v>1063</v>
      </c>
    </row>
    <row r="532" customFormat="false" ht="15.8" hidden="false" customHeight="false" outlineLevel="0" collapsed="false">
      <c r="A532" s="4" t="s">
        <v>755</v>
      </c>
      <c r="B532" s="4" t="s">
        <v>884</v>
      </c>
      <c r="C532" s="4" t="s">
        <v>506</v>
      </c>
      <c r="D532" s="4" t="s">
        <v>95</v>
      </c>
      <c r="E532" s="4" t="n">
        <v>2011</v>
      </c>
      <c r="F532" s="4" t="s">
        <v>527</v>
      </c>
      <c r="G532" s="13" t="n">
        <v>3.72207792207792</v>
      </c>
      <c r="H532" s="4" t="s">
        <v>770</v>
      </c>
      <c r="I532" s="4" t="s">
        <v>598</v>
      </c>
      <c r="J532" s="4" t="n">
        <v>1064</v>
      </c>
    </row>
    <row r="533" customFormat="false" ht="15.8" hidden="false" customHeight="false" outlineLevel="0" collapsed="false">
      <c r="A533" s="4" t="s">
        <v>755</v>
      </c>
      <c r="B533" s="4" t="s">
        <v>884</v>
      </c>
      <c r="C533" s="4" t="s">
        <v>506</v>
      </c>
      <c r="D533" s="4" t="s">
        <v>117</v>
      </c>
      <c r="E533" s="4" t="n">
        <v>2011</v>
      </c>
      <c r="F533" s="4" t="s">
        <v>527</v>
      </c>
      <c r="G533" s="13" t="n">
        <v>3.78701298701299</v>
      </c>
      <c r="H533" s="4" t="s">
        <v>770</v>
      </c>
      <c r="I533" s="4" t="s">
        <v>598</v>
      </c>
      <c r="J533" s="4" t="n">
        <v>1065</v>
      </c>
    </row>
    <row r="534" customFormat="false" ht="15.8" hidden="false" customHeight="false" outlineLevel="0" collapsed="false">
      <c r="A534" s="4" t="s">
        <v>755</v>
      </c>
      <c r="B534" s="4" t="s">
        <v>884</v>
      </c>
      <c r="C534" s="4" t="s">
        <v>506</v>
      </c>
      <c r="D534" s="4" t="s">
        <v>103</v>
      </c>
      <c r="E534" s="4" t="n">
        <v>2011</v>
      </c>
      <c r="F534" s="4" t="s">
        <v>527</v>
      </c>
      <c r="G534" s="13" t="n">
        <v>3.78701298701299</v>
      </c>
      <c r="I534" s="4" t="s">
        <v>598</v>
      </c>
      <c r="J534" s="4" t="n">
        <v>1066</v>
      </c>
    </row>
    <row r="535" customFormat="false" ht="15.8" hidden="false" customHeight="false" outlineLevel="0" collapsed="false">
      <c r="A535" s="4" t="s">
        <v>755</v>
      </c>
      <c r="B535" s="4" t="s">
        <v>884</v>
      </c>
      <c r="C535" s="4" t="s">
        <v>506</v>
      </c>
      <c r="D535" s="4" t="s">
        <v>153</v>
      </c>
      <c r="E535" s="4" t="n">
        <v>2012</v>
      </c>
      <c r="F535" s="4" t="s">
        <v>538</v>
      </c>
      <c r="G535" s="13" t="n">
        <v>3.85428571428571</v>
      </c>
      <c r="H535" s="4" t="s">
        <v>910</v>
      </c>
      <c r="I535" s="4" t="s">
        <v>889</v>
      </c>
      <c r="J535" s="4" t="n">
        <v>1067</v>
      </c>
    </row>
    <row r="536" customFormat="false" ht="15.8" hidden="false" customHeight="false" outlineLevel="0" collapsed="false">
      <c r="A536" s="4" t="s">
        <v>755</v>
      </c>
      <c r="B536" s="4" t="s">
        <v>884</v>
      </c>
      <c r="C536" s="4" t="s">
        <v>506</v>
      </c>
      <c r="D536" s="4" t="s">
        <v>153</v>
      </c>
      <c r="E536" s="4" t="n">
        <v>2014</v>
      </c>
      <c r="F536" s="4" t="s">
        <v>544</v>
      </c>
      <c r="G536" s="13" t="n">
        <v>4.05</v>
      </c>
      <c r="H536" s="4" t="s">
        <v>762</v>
      </c>
      <c r="I536" s="4" t="s">
        <v>763</v>
      </c>
      <c r="J536" s="4" t="n">
        <v>1068</v>
      </c>
    </row>
    <row r="537" customFormat="false" ht="15.8" hidden="false" customHeight="false" outlineLevel="0" collapsed="false">
      <c r="A537" s="4" t="s">
        <v>755</v>
      </c>
      <c r="B537" s="4" t="s">
        <v>884</v>
      </c>
      <c r="C537" s="4" t="s">
        <v>506</v>
      </c>
      <c r="D537" s="4" t="s">
        <v>911</v>
      </c>
      <c r="E537" s="4" t="n">
        <v>2013</v>
      </c>
      <c r="F537" s="4" t="s">
        <v>527</v>
      </c>
      <c r="G537" s="13" t="n">
        <v>4.08181818181818</v>
      </c>
      <c r="I537" s="4" t="s">
        <v>912</v>
      </c>
      <c r="J537" s="4" t="n">
        <v>1069</v>
      </c>
    </row>
    <row r="538" customFormat="false" ht="15.8" hidden="false" customHeight="false" outlineLevel="0" collapsed="false">
      <c r="A538" s="4" t="s">
        <v>755</v>
      </c>
      <c r="B538" s="4" t="s">
        <v>884</v>
      </c>
      <c r="C538" s="4" t="s">
        <v>506</v>
      </c>
      <c r="D538" s="4" t="s">
        <v>125</v>
      </c>
      <c r="E538" s="4" t="n">
        <v>2011</v>
      </c>
      <c r="F538" s="4" t="s">
        <v>527</v>
      </c>
      <c r="G538" s="13" t="n">
        <v>4.17662337662338</v>
      </c>
      <c r="I538" s="4" t="s">
        <v>598</v>
      </c>
      <c r="J538" s="4" t="n">
        <v>1070</v>
      </c>
    </row>
    <row r="539" customFormat="false" ht="15.8" hidden="false" customHeight="false" outlineLevel="0" collapsed="false">
      <c r="A539" s="4" t="s">
        <v>755</v>
      </c>
      <c r="B539" s="4" t="s">
        <v>884</v>
      </c>
      <c r="C539" s="4" t="s">
        <v>506</v>
      </c>
      <c r="D539" s="4" t="s">
        <v>130</v>
      </c>
      <c r="E539" s="4" t="n">
        <v>2011</v>
      </c>
      <c r="F539" s="4" t="s">
        <v>527</v>
      </c>
      <c r="G539" s="13" t="n">
        <v>4.17662337662338</v>
      </c>
      <c r="I539" s="4" t="s">
        <v>598</v>
      </c>
      <c r="J539" s="4" t="n">
        <v>1071</v>
      </c>
    </row>
    <row r="540" customFormat="false" ht="15.8" hidden="false" customHeight="false" outlineLevel="0" collapsed="false">
      <c r="A540" s="4" t="s">
        <v>755</v>
      </c>
      <c r="B540" s="4" t="s">
        <v>884</v>
      </c>
      <c r="C540" s="4" t="s">
        <v>506</v>
      </c>
      <c r="D540" s="4" t="s">
        <v>116</v>
      </c>
      <c r="E540" s="4" t="n">
        <v>2011</v>
      </c>
      <c r="F540" s="4" t="s">
        <v>527</v>
      </c>
      <c r="G540" s="13" t="n">
        <v>4.2025974025974</v>
      </c>
      <c r="I540" s="4" t="s">
        <v>598</v>
      </c>
      <c r="J540" s="4" t="n">
        <v>1072</v>
      </c>
    </row>
    <row r="541" customFormat="false" ht="15.8" hidden="false" customHeight="false" outlineLevel="0" collapsed="false">
      <c r="A541" s="4" t="s">
        <v>755</v>
      </c>
      <c r="B541" s="4" t="s">
        <v>884</v>
      </c>
      <c r="C541" s="4" t="s">
        <v>506</v>
      </c>
      <c r="D541" s="4" t="s">
        <v>103</v>
      </c>
      <c r="E541" s="4" t="n">
        <v>2008</v>
      </c>
      <c r="F541" s="4" t="s">
        <v>538</v>
      </c>
      <c r="G541" s="13" t="n">
        <v>4.26315789473684</v>
      </c>
      <c r="I541" s="4" t="s">
        <v>617</v>
      </c>
      <c r="J541" s="4" t="n">
        <v>1073</v>
      </c>
    </row>
    <row r="542" customFormat="false" ht="15.8" hidden="false" customHeight="false" outlineLevel="0" collapsed="false">
      <c r="A542" s="4" t="s">
        <v>755</v>
      </c>
      <c r="B542" s="4" t="s">
        <v>884</v>
      </c>
      <c r="C542" s="4" t="s">
        <v>506</v>
      </c>
      <c r="D542" s="4" t="s">
        <v>91</v>
      </c>
      <c r="E542" s="4" t="n">
        <v>2014</v>
      </c>
      <c r="F542" s="4" t="s">
        <v>527</v>
      </c>
      <c r="G542" s="13" t="n">
        <v>4.26987012987013</v>
      </c>
      <c r="I542" s="4" t="s">
        <v>893</v>
      </c>
      <c r="J542" s="4" t="n">
        <v>1074</v>
      </c>
    </row>
    <row r="543" customFormat="false" ht="15.8" hidden="false" customHeight="false" outlineLevel="0" collapsed="false">
      <c r="A543" s="4" t="s">
        <v>755</v>
      </c>
      <c r="B543" s="4" t="s">
        <v>884</v>
      </c>
      <c r="C543" s="4" t="s">
        <v>506</v>
      </c>
      <c r="D543" s="4" t="s">
        <v>778</v>
      </c>
      <c r="E543" s="4" t="n">
        <v>2013</v>
      </c>
      <c r="F543" s="4" t="s">
        <v>538</v>
      </c>
      <c r="G543" s="13" t="n">
        <v>4.41558441558442</v>
      </c>
      <c r="I543" s="4" t="s">
        <v>779</v>
      </c>
      <c r="J543" s="4" t="n">
        <v>1075</v>
      </c>
    </row>
    <row r="544" customFormat="false" ht="15.8" hidden="false" customHeight="false" outlineLevel="0" collapsed="false">
      <c r="A544" s="4" t="s">
        <v>755</v>
      </c>
      <c r="B544" s="4" t="s">
        <v>884</v>
      </c>
      <c r="C544" s="4" t="s">
        <v>506</v>
      </c>
      <c r="D544" s="4" t="s">
        <v>913</v>
      </c>
      <c r="E544" s="4" t="n">
        <v>2012</v>
      </c>
      <c r="F544" s="4" t="s">
        <v>538</v>
      </c>
      <c r="G544" s="13" t="n">
        <v>4.55</v>
      </c>
      <c r="H544" s="4" t="s">
        <v>914</v>
      </c>
      <c r="I544" s="4" t="s">
        <v>915</v>
      </c>
      <c r="J544" s="4" t="n">
        <v>1076</v>
      </c>
    </row>
    <row r="545" customFormat="false" ht="15.8" hidden="false" customHeight="false" outlineLevel="0" collapsed="false">
      <c r="A545" s="4" t="s">
        <v>755</v>
      </c>
      <c r="B545" s="4" t="s">
        <v>884</v>
      </c>
      <c r="C545" s="4" t="s">
        <v>506</v>
      </c>
      <c r="D545" s="4" t="s">
        <v>153</v>
      </c>
      <c r="E545" s="4" t="n">
        <v>2014</v>
      </c>
      <c r="F545" s="4" t="s">
        <v>544</v>
      </c>
      <c r="G545" s="13" t="n">
        <v>4.55</v>
      </c>
      <c r="H545" s="4" t="s">
        <v>826</v>
      </c>
      <c r="I545" s="4" t="s">
        <v>763</v>
      </c>
      <c r="J545" s="4" t="n">
        <v>1077</v>
      </c>
    </row>
    <row r="546" customFormat="false" ht="15.8" hidden="false" customHeight="false" outlineLevel="0" collapsed="false">
      <c r="A546" s="4" t="s">
        <v>755</v>
      </c>
      <c r="B546" s="4" t="s">
        <v>884</v>
      </c>
      <c r="C546" s="4" t="s">
        <v>506</v>
      </c>
      <c r="D546" s="4" t="s">
        <v>153</v>
      </c>
      <c r="E546" s="4" t="n">
        <v>2014</v>
      </c>
      <c r="F546" s="4" t="s">
        <v>544</v>
      </c>
      <c r="G546" s="13" t="n">
        <v>4.55</v>
      </c>
      <c r="H546" s="4" t="s">
        <v>809</v>
      </c>
      <c r="I546" s="4" t="s">
        <v>763</v>
      </c>
      <c r="J546" s="4" t="n">
        <v>1078</v>
      </c>
    </row>
    <row r="547" customFormat="false" ht="15.8" hidden="false" customHeight="false" outlineLevel="0" collapsed="false">
      <c r="A547" s="4" t="s">
        <v>755</v>
      </c>
      <c r="B547" s="4" t="s">
        <v>884</v>
      </c>
      <c r="C547" s="4" t="s">
        <v>506</v>
      </c>
      <c r="D547" s="4" t="s">
        <v>913</v>
      </c>
      <c r="E547" s="4" t="n">
        <v>2010</v>
      </c>
      <c r="F547" s="4" t="s">
        <v>601</v>
      </c>
      <c r="G547" s="13" t="n">
        <v>4.6</v>
      </c>
      <c r="H547" s="4" t="s">
        <v>916</v>
      </c>
      <c r="I547" s="4" t="s">
        <v>808</v>
      </c>
      <c r="J547" s="4" t="n">
        <v>1079</v>
      </c>
    </row>
    <row r="548" customFormat="false" ht="15.8" hidden="false" customHeight="false" outlineLevel="0" collapsed="false">
      <c r="A548" s="4" t="s">
        <v>755</v>
      </c>
      <c r="B548" s="4" t="s">
        <v>884</v>
      </c>
      <c r="C548" s="4" t="s">
        <v>506</v>
      </c>
      <c r="D548" s="4" t="s">
        <v>153</v>
      </c>
      <c r="E548" s="4" t="n">
        <v>2013</v>
      </c>
      <c r="F548" s="4" t="s">
        <v>527</v>
      </c>
      <c r="G548" s="13" t="n">
        <v>4.61666666666667</v>
      </c>
      <c r="H548" s="4" t="s">
        <v>917</v>
      </c>
      <c r="I548" s="4" t="s">
        <v>909</v>
      </c>
      <c r="J548" s="4" t="n">
        <v>1080</v>
      </c>
    </row>
    <row r="549" customFormat="false" ht="15.8" hidden="false" customHeight="false" outlineLevel="0" collapsed="false">
      <c r="A549" s="4" t="s">
        <v>755</v>
      </c>
      <c r="B549" s="4" t="s">
        <v>884</v>
      </c>
      <c r="C549" s="4" t="s">
        <v>506</v>
      </c>
      <c r="D549" s="4" t="s">
        <v>91</v>
      </c>
      <c r="E549" s="4" t="n">
        <v>2012</v>
      </c>
      <c r="F549" s="4" t="s">
        <v>544</v>
      </c>
      <c r="G549" s="13" t="n">
        <v>4.61666666666667</v>
      </c>
      <c r="I549" s="4" t="s">
        <v>918</v>
      </c>
      <c r="J549" s="4" t="n">
        <v>1081</v>
      </c>
    </row>
    <row r="550" customFormat="false" ht="15.8" hidden="false" customHeight="false" outlineLevel="0" collapsed="false">
      <c r="A550" s="4" t="s">
        <v>755</v>
      </c>
      <c r="B550" s="4" t="s">
        <v>884</v>
      </c>
      <c r="C550" s="4" t="s">
        <v>506</v>
      </c>
      <c r="D550" s="4" t="s">
        <v>913</v>
      </c>
      <c r="E550" s="4" t="n">
        <v>2010</v>
      </c>
      <c r="F550" s="4" t="s">
        <v>601</v>
      </c>
      <c r="G550" s="13" t="n">
        <v>5.1</v>
      </c>
      <c r="H550" s="4" t="s">
        <v>919</v>
      </c>
      <c r="I550" s="4" t="s">
        <v>808</v>
      </c>
      <c r="J550" s="4" t="n">
        <v>1082</v>
      </c>
    </row>
    <row r="551" customFormat="false" ht="15.8" hidden="false" customHeight="false" outlineLevel="0" collapsed="false">
      <c r="A551" s="4" t="s">
        <v>755</v>
      </c>
      <c r="B551" s="4" t="s">
        <v>884</v>
      </c>
      <c r="C551" s="4" t="s">
        <v>506</v>
      </c>
      <c r="D551" s="4" t="s">
        <v>133</v>
      </c>
      <c r="E551" s="4" t="n">
        <v>2012</v>
      </c>
      <c r="F551" s="4" t="s">
        <v>544</v>
      </c>
      <c r="G551" s="13" t="n">
        <v>5.15</v>
      </c>
      <c r="H551" s="4" t="s">
        <v>920</v>
      </c>
      <c r="I551" s="4" t="s">
        <v>921</v>
      </c>
      <c r="J551" s="4" t="n">
        <v>1083</v>
      </c>
    </row>
    <row r="552" customFormat="false" ht="15.8" hidden="false" customHeight="false" outlineLevel="0" collapsed="false">
      <c r="A552" s="4" t="s">
        <v>755</v>
      </c>
      <c r="B552" s="4" t="s">
        <v>884</v>
      </c>
      <c r="C552" s="4" t="s">
        <v>506</v>
      </c>
      <c r="D552" s="4" t="s">
        <v>133</v>
      </c>
      <c r="E552" s="4" t="n">
        <v>2012</v>
      </c>
      <c r="F552" s="4" t="s">
        <v>538</v>
      </c>
      <c r="G552" s="13" t="n">
        <v>5.27</v>
      </c>
      <c r="H552" s="4" t="s">
        <v>919</v>
      </c>
      <c r="I552" s="4" t="s">
        <v>915</v>
      </c>
      <c r="J552" s="4" t="n">
        <v>1084</v>
      </c>
    </row>
    <row r="553" customFormat="false" ht="15.8" hidden="false" customHeight="false" outlineLevel="0" collapsed="false">
      <c r="A553" s="4" t="s">
        <v>755</v>
      </c>
      <c r="B553" s="4" t="s">
        <v>884</v>
      </c>
      <c r="C553" s="4" t="s">
        <v>506</v>
      </c>
      <c r="D553" s="4" t="s">
        <v>91</v>
      </c>
      <c r="E553" s="4" t="n">
        <v>2014</v>
      </c>
      <c r="F553" s="4" t="s">
        <v>544</v>
      </c>
      <c r="G553" s="13" t="n">
        <v>5.35111111111111</v>
      </c>
      <c r="H553" s="4" t="s">
        <v>615</v>
      </c>
      <c r="I553" s="4" t="s">
        <v>546</v>
      </c>
      <c r="J553" s="4" t="n">
        <v>1085</v>
      </c>
    </row>
    <row r="554" customFormat="false" ht="15.8" hidden="false" customHeight="false" outlineLevel="0" collapsed="false">
      <c r="A554" s="4" t="s">
        <v>755</v>
      </c>
      <c r="B554" s="4" t="s">
        <v>884</v>
      </c>
      <c r="C554" s="4" t="s">
        <v>506</v>
      </c>
      <c r="D554" s="4" t="s">
        <v>91</v>
      </c>
      <c r="E554" s="4" t="n">
        <v>2014</v>
      </c>
      <c r="F554" s="4" t="s">
        <v>527</v>
      </c>
      <c r="G554" s="13" t="n">
        <v>5.36077922077922</v>
      </c>
      <c r="I554" s="4" t="s">
        <v>893</v>
      </c>
      <c r="J554" s="4" t="n">
        <v>1086</v>
      </c>
    </row>
    <row r="555" customFormat="false" ht="15.8" hidden="false" customHeight="false" outlineLevel="0" collapsed="false">
      <c r="A555" s="4" t="s">
        <v>755</v>
      </c>
      <c r="B555" s="4" t="s">
        <v>884</v>
      </c>
      <c r="C555" s="4" t="s">
        <v>506</v>
      </c>
      <c r="D555" s="4" t="s">
        <v>91</v>
      </c>
      <c r="E555" s="4" t="n">
        <v>2014</v>
      </c>
      <c r="F555" s="4" t="s">
        <v>544</v>
      </c>
      <c r="G555" s="13" t="n">
        <v>5.36962962962963</v>
      </c>
      <c r="H555" s="4" t="s">
        <v>586</v>
      </c>
      <c r="I555" s="4" t="s">
        <v>546</v>
      </c>
      <c r="J555" s="4" t="n">
        <v>1087</v>
      </c>
    </row>
    <row r="556" customFormat="false" ht="15.8" hidden="false" customHeight="false" outlineLevel="0" collapsed="false">
      <c r="A556" s="4" t="s">
        <v>755</v>
      </c>
      <c r="B556" s="4" t="s">
        <v>884</v>
      </c>
      <c r="C556" s="4" t="s">
        <v>506</v>
      </c>
      <c r="D556" s="4" t="s">
        <v>153</v>
      </c>
      <c r="E556" s="4" t="n">
        <v>2014</v>
      </c>
      <c r="F556" s="4" t="s">
        <v>544</v>
      </c>
      <c r="G556" s="13" t="n">
        <v>5.55</v>
      </c>
      <c r="H556" s="4" t="s">
        <v>835</v>
      </c>
      <c r="I556" s="4" t="s">
        <v>763</v>
      </c>
      <c r="J556" s="4" t="n">
        <v>1088</v>
      </c>
    </row>
    <row r="557" customFormat="false" ht="15.8" hidden="false" customHeight="false" outlineLevel="0" collapsed="false">
      <c r="A557" s="4" t="s">
        <v>755</v>
      </c>
      <c r="B557" s="4" t="s">
        <v>884</v>
      </c>
      <c r="C557" s="4" t="s">
        <v>506</v>
      </c>
      <c r="D557" s="4" t="s">
        <v>875</v>
      </c>
      <c r="E557" s="4" t="n">
        <v>2013</v>
      </c>
      <c r="F557" s="4" t="s">
        <v>538</v>
      </c>
      <c r="G557" s="13" t="n">
        <v>5.58441558441558</v>
      </c>
      <c r="I557" s="4" t="s">
        <v>779</v>
      </c>
      <c r="J557" s="4" t="n">
        <v>1089</v>
      </c>
    </row>
    <row r="558" customFormat="false" ht="15.8" hidden="false" customHeight="false" outlineLevel="0" collapsed="false">
      <c r="A558" s="4" t="s">
        <v>755</v>
      </c>
      <c r="B558" s="4" t="s">
        <v>884</v>
      </c>
      <c r="C558" s="4" t="s">
        <v>506</v>
      </c>
      <c r="D558" s="4" t="s">
        <v>133</v>
      </c>
      <c r="E558" s="4" t="n">
        <v>2012</v>
      </c>
      <c r="F558" s="4" t="s">
        <v>601</v>
      </c>
      <c r="G558" s="13" t="n">
        <v>5.7</v>
      </c>
      <c r="I558" s="4" t="s">
        <v>637</v>
      </c>
      <c r="J558" s="4" t="n">
        <v>1090</v>
      </c>
    </row>
    <row r="559" customFormat="false" ht="15.8" hidden="false" customHeight="false" outlineLevel="0" collapsed="false">
      <c r="A559" s="4" t="s">
        <v>755</v>
      </c>
      <c r="B559" s="4" t="s">
        <v>884</v>
      </c>
      <c r="C559" s="4" t="s">
        <v>506</v>
      </c>
      <c r="D559" s="4" t="s">
        <v>133</v>
      </c>
      <c r="E559" s="4" t="n">
        <v>2012</v>
      </c>
      <c r="F559" s="4" t="s">
        <v>538</v>
      </c>
      <c r="G559" s="13" t="n">
        <v>5.8</v>
      </c>
      <c r="H559" s="4" t="s">
        <v>547</v>
      </c>
      <c r="I559" s="4" t="s">
        <v>915</v>
      </c>
      <c r="J559" s="4" t="n">
        <v>1091</v>
      </c>
    </row>
    <row r="560" customFormat="false" ht="15.8" hidden="false" customHeight="false" outlineLevel="0" collapsed="false">
      <c r="A560" s="4" t="s">
        <v>755</v>
      </c>
      <c r="B560" s="4" t="s">
        <v>884</v>
      </c>
      <c r="C560" s="4" t="s">
        <v>506</v>
      </c>
      <c r="D560" s="4" t="s">
        <v>133</v>
      </c>
      <c r="E560" s="4" t="n">
        <v>2012</v>
      </c>
      <c r="F560" s="4" t="s">
        <v>601</v>
      </c>
      <c r="G560" s="13" t="n">
        <v>5.8</v>
      </c>
      <c r="I560" s="4" t="s">
        <v>637</v>
      </c>
      <c r="J560" s="4" t="n">
        <v>1092</v>
      </c>
    </row>
    <row r="561" customFormat="false" ht="15.8" hidden="false" customHeight="false" outlineLevel="0" collapsed="false">
      <c r="A561" s="4" t="s">
        <v>755</v>
      </c>
      <c r="B561" s="4" t="s">
        <v>884</v>
      </c>
      <c r="C561" s="4" t="s">
        <v>506</v>
      </c>
      <c r="D561" s="4" t="s">
        <v>133</v>
      </c>
      <c r="E561" s="4" t="n">
        <v>2012</v>
      </c>
      <c r="F561" s="4" t="s">
        <v>544</v>
      </c>
      <c r="G561" s="13" t="n">
        <v>5.87</v>
      </c>
      <c r="H561" s="4" t="s">
        <v>919</v>
      </c>
      <c r="I561" s="4" t="s">
        <v>921</v>
      </c>
      <c r="J561" s="4" t="n">
        <v>1093</v>
      </c>
    </row>
    <row r="562" customFormat="false" ht="15.8" hidden="false" customHeight="false" outlineLevel="0" collapsed="false">
      <c r="A562" s="4" t="s">
        <v>755</v>
      </c>
      <c r="B562" s="4" t="s">
        <v>884</v>
      </c>
      <c r="C562" s="4" t="s">
        <v>506</v>
      </c>
      <c r="D562" s="4" t="s">
        <v>91</v>
      </c>
      <c r="E562" s="4" t="n">
        <v>2014</v>
      </c>
      <c r="F562" s="4" t="s">
        <v>544</v>
      </c>
      <c r="G562" s="13" t="n">
        <v>5.92518518518518</v>
      </c>
      <c r="H562" s="4" t="s">
        <v>615</v>
      </c>
      <c r="I562" s="4" t="s">
        <v>546</v>
      </c>
      <c r="J562" s="4" t="n">
        <v>1094</v>
      </c>
    </row>
    <row r="563" customFormat="false" ht="15.8" hidden="false" customHeight="false" outlineLevel="0" collapsed="false">
      <c r="A563" s="4" t="s">
        <v>755</v>
      </c>
      <c r="B563" s="4" t="s">
        <v>884</v>
      </c>
      <c r="C563" s="4" t="s">
        <v>506</v>
      </c>
      <c r="D563" s="4" t="s">
        <v>859</v>
      </c>
      <c r="E563" s="4" t="n">
        <v>2012</v>
      </c>
      <c r="F563" s="4" t="s">
        <v>527</v>
      </c>
      <c r="G563" s="13" t="n">
        <v>6</v>
      </c>
      <c r="I563" s="4" t="s">
        <v>863</v>
      </c>
      <c r="J563" s="4" t="n">
        <v>1095</v>
      </c>
    </row>
    <row r="564" customFormat="false" ht="15.8" hidden="false" customHeight="false" outlineLevel="0" collapsed="false">
      <c r="A564" s="4" t="s">
        <v>755</v>
      </c>
      <c r="B564" s="4" t="s">
        <v>884</v>
      </c>
      <c r="C564" s="4" t="s">
        <v>506</v>
      </c>
      <c r="D564" s="4" t="s">
        <v>91</v>
      </c>
      <c r="E564" s="4" t="n">
        <v>2014</v>
      </c>
      <c r="F564" s="4" t="s">
        <v>544</v>
      </c>
      <c r="G564" s="13" t="n">
        <v>6.11037037037037</v>
      </c>
      <c r="H564" s="4" t="s">
        <v>586</v>
      </c>
      <c r="I564" s="4" t="s">
        <v>546</v>
      </c>
      <c r="J564" s="4" t="n">
        <v>1096</v>
      </c>
    </row>
    <row r="565" customFormat="false" ht="15.8" hidden="false" customHeight="false" outlineLevel="0" collapsed="false">
      <c r="A565" s="4" t="s">
        <v>755</v>
      </c>
      <c r="B565" s="4" t="s">
        <v>884</v>
      </c>
      <c r="C565" s="4" t="s">
        <v>506</v>
      </c>
      <c r="D565" s="4" t="s">
        <v>133</v>
      </c>
      <c r="E565" s="4" t="n">
        <v>2006</v>
      </c>
      <c r="F565" s="4" t="s">
        <v>538</v>
      </c>
      <c r="G565" s="13" t="n">
        <v>6.24</v>
      </c>
      <c r="H565" s="4" t="s">
        <v>547</v>
      </c>
      <c r="I565" s="4" t="s">
        <v>572</v>
      </c>
      <c r="J565" s="4" t="n">
        <v>1097</v>
      </c>
    </row>
    <row r="566" customFormat="false" ht="15.8" hidden="false" customHeight="false" outlineLevel="0" collapsed="false">
      <c r="A566" s="4" t="s">
        <v>755</v>
      </c>
      <c r="B566" s="4" t="s">
        <v>884</v>
      </c>
      <c r="C566" s="4" t="s">
        <v>506</v>
      </c>
      <c r="D566" s="4" t="s">
        <v>112</v>
      </c>
      <c r="E566" s="4" t="n">
        <v>2011</v>
      </c>
      <c r="F566" s="4" t="s">
        <v>527</v>
      </c>
      <c r="G566" s="13" t="n">
        <v>6.25454545454546</v>
      </c>
      <c r="I566" s="4" t="s">
        <v>598</v>
      </c>
      <c r="J566" s="4" t="n">
        <v>1098</v>
      </c>
    </row>
    <row r="567" customFormat="false" ht="15.8" hidden="false" customHeight="false" outlineLevel="0" collapsed="false">
      <c r="A567" s="4" t="s">
        <v>755</v>
      </c>
      <c r="B567" s="4" t="s">
        <v>884</v>
      </c>
      <c r="C567" s="4" t="s">
        <v>506</v>
      </c>
      <c r="D567" s="4" t="s">
        <v>133</v>
      </c>
      <c r="E567" s="4" t="n">
        <v>2012</v>
      </c>
      <c r="F567" s="4" t="s">
        <v>544</v>
      </c>
      <c r="G567" s="13" t="n">
        <v>6.4</v>
      </c>
      <c r="H567" s="4" t="s">
        <v>547</v>
      </c>
      <c r="I567" s="4" t="s">
        <v>921</v>
      </c>
      <c r="J567" s="4" t="n">
        <v>1099</v>
      </c>
    </row>
    <row r="568" customFormat="false" ht="15.8" hidden="false" customHeight="false" outlineLevel="0" collapsed="false">
      <c r="A568" s="4" t="s">
        <v>755</v>
      </c>
      <c r="B568" s="4" t="s">
        <v>884</v>
      </c>
      <c r="C568" s="4" t="s">
        <v>506</v>
      </c>
      <c r="D568" s="4" t="s">
        <v>133</v>
      </c>
      <c r="E568" s="4" t="n">
        <v>2010</v>
      </c>
      <c r="F568" s="4" t="s">
        <v>601</v>
      </c>
      <c r="G568" s="13" t="n">
        <v>6.4</v>
      </c>
      <c r="H568" s="4" t="s">
        <v>547</v>
      </c>
      <c r="I568" s="4" t="s">
        <v>808</v>
      </c>
      <c r="J568" s="4" t="n">
        <v>1100</v>
      </c>
    </row>
    <row r="569" customFormat="false" ht="15.8" hidden="false" customHeight="false" outlineLevel="0" collapsed="false">
      <c r="A569" s="4" t="s">
        <v>755</v>
      </c>
      <c r="B569" s="4" t="s">
        <v>884</v>
      </c>
      <c r="C569" s="4" t="s">
        <v>506</v>
      </c>
      <c r="D569" s="4" t="s">
        <v>877</v>
      </c>
      <c r="E569" s="4" t="n">
        <v>2013</v>
      </c>
      <c r="F569" s="4" t="s">
        <v>538</v>
      </c>
      <c r="G569" s="13" t="n">
        <v>7.4025974025974</v>
      </c>
      <c r="I569" s="4" t="s">
        <v>779</v>
      </c>
      <c r="J569" s="4" t="n">
        <v>1101</v>
      </c>
    </row>
    <row r="570" customFormat="false" ht="15.8" hidden="false" customHeight="false" outlineLevel="0" collapsed="false">
      <c r="A570" s="4" t="s">
        <v>755</v>
      </c>
      <c r="B570" s="4" t="s">
        <v>884</v>
      </c>
      <c r="C570" s="4" t="s">
        <v>506</v>
      </c>
      <c r="D570" s="4" t="s">
        <v>873</v>
      </c>
      <c r="E570" s="4" t="n">
        <v>2013</v>
      </c>
      <c r="F570" s="4" t="s">
        <v>538</v>
      </c>
      <c r="G570" s="13" t="n">
        <v>7.53246753246753</v>
      </c>
      <c r="I570" s="4" t="s">
        <v>779</v>
      </c>
      <c r="J570" s="4" t="n">
        <v>1102</v>
      </c>
    </row>
    <row r="571" customFormat="false" ht="15.8" hidden="false" customHeight="false" outlineLevel="0" collapsed="false">
      <c r="A571" s="4" t="s">
        <v>755</v>
      </c>
      <c r="B571" s="4" t="s">
        <v>884</v>
      </c>
      <c r="C571" s="4" t="s">
        <v>506</v>
      </c>
      <c r="D571" s="4" t="s">
        <v>922</v>
      </c>
      <c r="E571" s="4" t="n">
        <v>2013</v>
      </c>
      <c r="F571" s="4" t="s">
        <v>538</v>
      </c>
      <c r="G571" s="13" t="n">
        <v>7.53246753246753</v>
      </c>
      <c r="I571" s="4" t="s">
        <v>779</v>
      </c>
      <c r="J571" s="4" t="n">
        <v>1103</v>
      </c>
    </row>
    <row r="572" customFormat="false" ht="15.8" hidden="false" customHeight="false" outlineLevel="0" collapsed="false">
      <c r="A572" s="4" t="s">
        <v>755</v>
      </c>
      <c r="B572" s="4" t="s">
        <v>884</v>
      </c>
      <c r="C572" s="4" t="s">
        <v>506</v>
      </c>
      <c r="D572" s="4" t="s">
        <v>838</v>
      </c>
      <c r="E572" s="4" t="n">
        <v>2013</v>
      </c>
      <c r="F572" s="4" t="s">
        <v>538</v>
      </c>
      <c r="G572" s="13" t="n">
        <v>7.85714285714286</v>
      </c>
      <c r="I572" s="4" t="s">
        <v>779</v>
      </c>
      <c r="J572" s="4" t="n">
        <v>1104</v>
      </c>
    </row>
    <row r="573" customFormat="false" ht="15.8" hidden="false" customHeight="false" outlineLevel="0" collapsed="false">
      <c r="A573" s="4" t="s">
        <v>755</v>
      </c>
      <c r="B573" s="4" t="s">
        <v>884</v>
      </c>
      <c r="C573" s="4" t="s">
        <v>506</v>
      </c>
      <c r="D573" s="4" t="s">
        <v>923</v>
      </c>
      <c r="E573" s="4" t="n">
        <v>2011</v>
      </c>
      <c r="F573" s="4" t="s">
        <v>538</v>
      </c>
      <c r="G573" s="13" t="n">
        <v>7.91354344873807</v>
      </c>
      <c r="H573" s="4" t="s">
        <v>924</v>
      </c>
      <c r="I573" s="4" t="s">
        <v>907</v>
      </c>
      <c r="J573" s="4" t="n">
        <v>1105</v>
      </c>
    </row>
    <row r="574" customFormat="false" ht="15.8" hidden="false" customHeight="false" outlineLevel="0" collapsed="false">
      <c r="A574" s="4" t="s">
        <v>755</v>
      </c>
      <c r="B574" s="4" t="s">
        <v>884</v>
      </c>
      <c r="C574" s="4" t="s">
        <v>506</v>
      </c>
      <c r="D574" s="4" t="s">
        <v>477</v>
      </c>
      <c r="E574" s="4" t="n">
        <v>2011</v>
      </c>
      <c r="F574" s="4" t="s">
        <v>538</v>
      </c>
      <c r="G574" s="13" t="n">
        <v>7.93532513800949</v>
      </c>
      <c r="H574" s="4" t="s">
        <v>925</v>
      </c>
      <c r="I574" s="4" t="s">
        <v>907</v>
      </c>
      <c r="J574" s="4" t="n">
        <v>1106</v>
      </c>
    </row>
    <row r="575" customFormat="false" ht="15.8" hidden="false" customHeight="false" outlineLevel="0" collapsed="false">
      <c r="A575" s="4" t="s">
        <v>755</v>
      </c>
      <c r="B575" s="4" t="s">
        <v>884</v>
      </c>
      <c r="C575" s="4" t="s">
        <v>506</v>
      </c>
      <c r="D575" s="4" t="s">
        <v>880</v>
      </c>
      <c r="E575" s="4" t="n">
        <v>2013</v>
      </c>
      <c r="F575" s="4" t="s">
        <v>538</v>
      </c>
      <c r="G575" s="13" t="n">
        <v>8.05194805194805</v>
      </c>
      <c r="I575" s="4" t="s">
        <v>779</v>
      </c>
      <c r="J575" s="4" t="n">
        <v>1107</v>
      </c>
    </row>
    <row r="576" customFormat="false" ht="15.8" hidden="false" customHeight="false" outlineLevel="0" collapsed="false">
      <c r="A576" s="4" t="s">
        <v>755</v>
      </c>
      <c r="B576" s="4" t="s">
        <v>884</v>
      </c>
      <c r="C576" s="4" t="s">
        <v>506</v>
      </c>
      <c r="D576" s="4" t="s">
        <v>153</v>
      </c>
      <c r="E576" s="4" t="n">
        <v>2013</v>
      </c>
      <c r="F576" s="4" t="s">
        <v>527</v>
      </c>
      <c r="G576" s="13" t="n">
        <v>9.981</v>
      </c>
      <c r="H576" s="4" t="s">
        <v>926</v>
      </c>
      <c r="I576" s="4" t="s">
        <v>909</v>
      </c>
      <c r="J576" s="4" t="n">
        <v>1108</v>
      </c>
    </row>
    <row r="577" customFormat="false" ht="15.8" hidden="false" customHeight="false" outlineLevel="0" collapsed="false">
      <c r="A577" s="4" t="s">
        <v>755</v>
      </c>
      <c r="B577" s="4" t="s">
        <v>884</v>
      </c>
      <c r="C577" s="4" t="s">
        <v>506</v>
      </c>
      <c r="D577" s="4" t="s">
        <v>477</v>
      </c>
      <c r="E577" s="4" t="n">
        <v>2011</v>
      </c>
      <c r="F577" s="4" t="s">
        <v>538</v>
      </c>
      <c r="H577" s="4" t="s">
        <v>927</v>
      </c>
      <c r="I577" s="4" t="s">
        <v>907</v>
      </c>
      <c r="J577" s="4" t="n">
        <v>1109</v>
      </c>
    </row>
    <row r="578" customFormat="false" ht="15.8" hidden="false" customHeight="false" outlineLevel="0" collapsed="false">
      <c r="A578" s="4" t="s">
        <v>755</v>
      </c>
      <c r="B578" s="4" t="s">
        <v>884</v>
      </c>
      <c r="C578" s="4" t="s">
        <v>506</v>
      </c>
      <c r="D578" s="4" t="s">
        <v>91</v>
      </c>
      <c r="E578" s="4" t="n">
        <v>2012</v>
      </c>
      <c r="F578" s="4" t="s">
        <v>544</v>
      </c>
      <c r="H578" s="4" t="s">
        <v>928</v>
      </c>
      <c r="I578" s="4" t="s">
        <v>918</v>
      </c>
      <c r="J578" s="4" t="n">
        <v>1110</v>
      </c>
    </row>
    <row r="579" customFormat="false" ht="15.8" hidden="false" customHeight="false" outlineLevel="0" collapsed="false">
      <c r="A579" s="4" t="s">
        <v>755</v>
      </c>
      <c r="B579" s="4" t="s">
        <v>884</v>
      </c>
      <c r="C579" s="4" t="s">
        <v>506</v>
      </c>
      <c r="D579" s="4" t="s">
        <v>133</v>
      </c>
      <c r="E579" s="4" t="n">
        <v>2012</v>
      </c>
      <c r="F579" s="4" t="s">
        <v>601</v>
      </c>
      <c r="H579" s="4" t="s">
        <v>929</v>
      </c>
      <c r="I579" s="4" t="s">
        <v>637</v>
      </c>
      <c r="J579" s="4" t="n">
        <v>1111</v>
      </c>
    </row>
    <row r="580" customFormat="false" ht="15.8" hidden="false" customHeight="false" outlineLevel="0" collapsed="false">
      <c r="A580" s="4" t="s">
        <v>755</v>
      </c>
      <c r="B580" s="4" t="s">
        <v>884</v>
      </c>
      <c r="C580" s="4" t="s">
        <v>506</v>
      </c>
      <c r="D580" s="4" t="s">
        <v>133</v>
      </c>
      <c r="E580" s="4" t="n">
        <v>2012</v>
      </c>
      <c r="F580" s="4" t="s">
        <v>601</v>
      </c>
      <c r="H580" s="4" t="s">
        <v>929</v>
      </c>
      <c r="I580" s="4" t="s">
        <v>637</v>
      </c>
      <c r="J580" s="4" t="n">
        <v>1112</v>
      </c>
    </row>
    <row r="581" customFormat="false" ht="15.8" hidden="false" customHeight="false" outlineLevel="0" collapsed="false">
      <c r="A581" s="4" t="s">
        <v>755</v>
      </c>
      <c r="B581" s="4" t="s">
        <v>884</v>
      </c>
      <c r="C581" s="4" t="s">
        <v>506</v>
      </c>
      <c r="D581" s="4" t="s">
        <v>133</v>
      </c>
      <c r="E581" s="4" t="n">
        <v>2012</v>
      </c>
      <c r="F581" s="4" t="s">
        <v>601</v>
      </c>
      <c r="H581" s="4" t="s">
        <v>929</v>
      </c>
      <c r="I581" s="4" t="s">
        <v>637</v>
      </c>
      <c r="J581" s="4" t="n">
        <v>1113</v>
      </c>
    </row>
    <row r="582" customFormat="false" ht="15.8" hidden="false" customHeight="false" outlineLevel="0" collapsed="false">
      <c r="A582" s="4" t="s">
        <v>755</v>
      </c>
      <c r="B582" s="4" t="s">
        <v>884</v>
      </c>
      <c r="C582" s="4" t="s">
        <v>506</v>
      </c>
      <c r="D582" s="4" t="s">
        <v>133</v>
      </c>
      <c r="E582" s="4" t="n">
        <v>2012</v>
      </c>
      <c r="F582" s="4" t="s">
        <v>601</v>
      </c>
      <c r="H582" s="4" t="s">
        <v>930</v>
      </c>
      <c r="I582" s="4" t="s">
        <v>637</v>
      </c>
      <c r="J582" s="4" t="n">
        <v>1114</v>
      </c>
    </row>
    <row r="583" customFormat="false" ht="15.8" hidden="false" customHeight="false" outlineLevel="0" collapsed="false">
      <c r="A583" s="4" t="s">
        <v>755</v>
      </c>
      <c r="B583" s="4" t="s">
        <v>511</v>
      </c>
      <c r="C583" s="4" t="s">
        <v>506</v>
      </c>
      <c r="D583" s="4" t="s">
        <v>153</v>
      </c>
      <c r="E583" s="4" t="n">
        <v>2011</v>
      </c>
      <c r="F583" s="4" t="s">
        <v>538</v>
      </c>
      <c r="G583" s="13" t="n">
        <v>1.3</v>
      </c>
      <c r="H583" s="4" t="s">
        <v>931</v>
      </c>
      <c r="I583" s="4" t="s">
        <v>932</v>
      </c>
      <c r="J583" s="4" t="n">
        <v>1140</v>
      </c>
    </row>
    <row r="584" customFormat="false" ht="15.8" hidden="false" customHeight="false" outlineLevel="0" collapsed="false">
      <c r="A584" s="4" t="s">
        <v>755</v>
      </c>
      <c r="B584" s="4" t="s">
        <v>511</v>
      </c>
      <c r="C584" s="4" t="s">
        <v>506</v>
      </c>
      <c r="D584" s="4" t="s">
        <v>153</v>
      </c>
      <c r="E584" s="4" t="n">
        <v>2011</v>
      </c>
      <c r="F584" s="4" t="s">
        <v>538</v>
      </c>
      <c r="G584" s="13" t="n">
        <v>1.6</v>
      </c>
      <c r="H584" s="4" t="s">
        <v>933</v>
      </c>
      <c r="I584" s="4" t="s">
        <v>932</v>
      </c>
      <c r="J584" s="4" t="n">
        <v>1141</v>
      </c>
    </row>
    <row r="585" customFormat="false" ht="15.8" hidden="false" customHeight="false" outlineLevel="0" collapsed="false">
      <c r="A585" s="4" t="s">
        <v>755</v>
      </c>
      <c r="B585" s="4" t="s">
        <v>511</v>
      </c>
      <c r="C585" s="4" t="s">
        <v>506</v>
      </c>
      <c r="D585" s="4" t="s">
        <v>131</v>
      </c>
      <c r="E585" s="4" t="n">
        <v>2009</v>
      </c>
      <c r="F585" s="4" t="s">
        <v>538</v>
      </c>
      <c r="G585" s="13" t="n">
        <v>1.69666666666667</v>
      </c>
      <c r="H585" s="4" t="s">
        <v>770</v>
      </c>
      <c r="I585" s="4" t="s">
        <v>840</v>
      </c>
      <c r="J585" s="4" t="n">
        <v>1142</v>
      </c>
    </row>
    <row r="586" customFormat="false" ht="15.8" hidden="false" customHeight="false" outlineLevel="0" collapsed="false">
      <c r="A586" s="4" t="s">
        <v>755</v>
      </c>
      <c r="B586" s="4" t="s">
        <v>511</v>
      </c>
      <c r="C586" s="4" t="s">
        <v>506</v>
      </c>
      <c r="D586" s="4" t="s">
        <v>131</v>
      </c>
      <c r="E586" s="4" t="n">
        <v>2011</v>
      </c>
      <c r="F586" s="4" t="s">
        <v>527</v>
      </c>
      <c r="G586" s="13" t="n">
        <v>1.75</v>
      </c>
      <c r="H586" s="4" t="s">
        <v>770</v>
      </c>
      <c r="I586" s="4" t="s">
        <v>735</v>
      </c>
      <c r="J586" s="4" t="n">
        <v>1143</v>
      </c>
    </row>
    <row r="587" customFormat="false" ht="15.8" hidden="false" customHeight="false" outlineLevel="0" collapsed="false">
      <c r="A587" s="4" t="s">
        <v>755</v>
      </c>
      <c r="B587" s="4" t="s">
        <v>511</v>
      </c>
      <c r="C587" s="4" t="s">
        <v>506</v>
      </c>
      <c r="D587" s="4" t="s">
        <v>104</v>
      </c>
      <c r="E587" s="4" t="n">
        <v>2014</v>
      </c>
      <c r="F587" s="4" t="s">
        <v>527</v>
      </c>
      <c r="G587" s="13" t="n">
        <v>1.75</v>
      </c>
      <c r="H587" s="4" t="s">
        <v>934</v>
      </c>
      <c r="I587" s="4" t="s">
        <v>935</v>
      </c>
      <c r="J587" s="4" t="n">
        <v>1144</v>
      </c>
    </row>
    <row r="588" customFormat="false" ht="15.8" hidden="false" customHeight="false" outlineLevel="0" collapsed="false">
      <c r="A588" s="4" t="s">
        <v>755</v>
      </c>
      <c r="B588" s="4" t="s">
        <v>511</v>
      </c>
      <c r="C588" s="4" t="s">
        <v>506</v>
      </c>
      <c r="D588" s="4" t="s">
        <v>936</v>
      </c>
      <c r="E588" s="4" t="n">
        <v>2013</v>
      </c>
      <c r="F588" s="4" t="s">
        <v>527</v>
      </c>
      <c r="G588" s="13" t="n">
        <v>1.8</v>
      </c>
      <c r="H588" s="4" t="s">
        <v>547</v>
      </c>
      <c r="I588" s="4" t="s">
        <v>937</v>
      </c>
      <c r="J588" s="4" t="n">
        <v>1145</v>
      </c>
    </row>
    <row r="589" customFormat="false" ht="15.8" hidden="false" customHeight="false" outlineLevel="0" collapsed="false">
      <c r="A589" s="4" t="s">
        <v>755</v>
      </c>
      <c r="B589" s="4" t="s">
        <v>511</v>
      </c>
      <c r="C589" s="4" t="s">
        <v>506</v>
      </c>
      <c r="D589" s="4" t="s">
        <v>477</v>
      </c>
      <c r="E589" s="4" t="n">
        <v>2013</v>
      </c>
      <c r="F589" s="4" t="s">
        <v>527</v>
      </c>
      <c r="G589" s="13" t="n">
        <v>2.1</v>
      </c>
      <c r="H589" s="4" t="s">
        <v>770</v>
      </c>
      <c r="I589" s="4" t="s">
        <v>938</v>
      </c>
      <c r="J589" s="4" t="n">
        <v>1146</v>
      </c>
    </row>
    <row r="590" customFormat="false" ht="15.8" hidden="false" customHeight="false" outlineLevel="0" collapsed="false">
      <c r="A590" s="4" t="s">
        <v>755</v>
      </c>
      <c r="B590" s="4" t="s">
        <v>511</v>
      </c>
      <c r="C590" s="4" t="s">
        <v>506</v>
      </c>
      <c r="D590" s="4" t="s">
        <v>103</v>
      </c>
      <c r="E590" s="4" t="n">
        <v>2008</v>
      </c>
      <c r="F590" s="4" t="s">
        <v>538</v>
      </c>
      <c r="G590" s="13" t="n">
        <v>2.26666666666667</v>
      </c>
      <c r="H590" s="4" t="s">
        <v>770</v>
      </c>
      <c r="I590" s="4" t="s">
        <v>617</v>
      </c>
      <c r="J590" s="4" t="n">
        <v>1147</v>
      </c>
    </row>
    <row r="591" customFormat="false" ht="15.8" hidden="false" customHeight="false" outlineLevel="0" collapsed="false">
      <c r="A591" s="4" t="s">
        <v>755</v>
      </c>
      <c r="B591" s="4" t="s">
        <v>511</v>
      </c>
      <c r="C591" s="4" t="s">
        <v>506</v>
      </c>
      <c r="D591" s="4" t="s">
        <v>778</v>
      </c>
      <c r="E591" s="4" t="n">
        <v>2013</v>
      </c>
      <c r="F591" s="4" t="s">
        <v>538</v>
      </c>
      <c r="G591" s="13" t="n">
        <v>2.4</v>
      </c>
      <c r="H591" s="4" t="s">
        <v>770</v>
      </c>
      <c r="I591" s="4" t="s">
        <v>779</v>
      </c>
      <c r="J591" s="4" t="n">
        <v>1148</v>
      </c>
    </row>
    <row r="592" customFormat="false" ht="15.8" hidden="false" customHeight="false" outlineLevel="0" collapsed="false">
      <c r="A592" s="4" t="s">
        <v>755</v>
      </c>
      <c r="B592" s="4" t="s">
        <v>511</v>
      </c>
      <c r="C592" s="4" t="s">
        <v>506</v>
      </c>
      <c r="D592" s="4" t="s">
        <v>136</v>
      </c>
      <c r="E592" s="4" t="n">
        <v>2013</v>
      </c>
      <c r="F592" s="4" t="s">
        <v>538</v>
      </c>
      <c r="G592" s="13" t="n">
        <v>2.4</v>
      </c>
      <c r="H592" s="4" t="s">
        <v>770</v>
      </c>
      <c r="I592" s="4" t="s">
        <v>779</v>
      </c>
      <c r="J592" s="4" t="n">
        <v>1149</v>
      </c>
    </row>
    <row r="593" customFormat="false" ht="15.8" hidden="false" customHeight="false" outlineLevel="0" collapsed="false">
      <c r="A593" s="4" t="s">
        <v>755</v>
      </c>
      <c r="B593" s="4" t="s">
        <v>511</v>
      </c>
      <c r="C593" s="4" t="s">
        <v>506</v>
      </c>
      <c r="D593" s="4" t="s">
        <v>115</v>
      </c>
      <c r="E593" s="4" t="n">
        <v>2012</v>
      </c>
      <c r="F593" s="4" t="s">
        <v>544</v>
      </c>
      <c r="G593" s="13" t="n">
        <v>2.61818181818182</v>
      </c>
      <c r="H593" s="4" t="s">
        <v>770</v>
      </c>
      <c r="I593" s="4" t="s">
        <v>692</v>
      </c>
      <c r="J593" s="4" t="n">
        <v>1150</v>
      </c>
    </row>
    <row r="594" customFormat="false" ht="15.8" hidden="false" customHeight="false" outlineLevel="0" collapsed="false">
      <c r="A594" s="4" t="s">
        <v>755</v>
      </c>
      <c r="B594" s="4" t="s">
        <v>511</v>
      </c>
      <c r="C594" s="4" t="s">
        <v>506</v>
      </c>
      <c r="D594" s="4" t="s">
        <v>102</v>
      </c>
      <c r="E594" s="4" t="n">
        <v>2013</v>
      </c>
      <c r="F594" s="4" t="s">
        <v>601</v>
      </c>
      <c r="G594" s="13" t="n">
        <v>2.7</v>
      </c>
      <c r="I594" s="4" t="s">
        <v>939</v>
      </c>
      <c r="J594" s="4" t="n">
        <v>1151</v>
      </c>
    </row>
    <row r="595" customFormat="false" ht="15.8" hidden="false" customHeight="false" outlineLevel="0" collapsed="false">
      <c r="A595" s="4" t="s">
        <v>755</v>
      </c>
      <c r="B595" s="4" t="s">
        <v>511</v>
      </c>
      <c r="C595" s="4" t="s">
        <v>506</v>
      </c>
      <c r="D595" s="4" t="s">
        <v>875</v>
      </c>
      <c r="E595" s="4" t="n">
        <v>2013</v>
      </c>
      <c r="F595" s="4" t="s">
        <v>538</v>
      </c>
      <c r="G595" s="13" t="n">
        <v>2.9</v>
      </c>
      <c r="H595" s="4" t="s">
        <v>770</v>
      </c>
      <c r="I595" s="4" t="s">
        <v>779</v>
      </c>
      <c r="J595" s="4" t="n">
        <v>1152</v>
      </c>
    </row>
    <row r="596" customFormat="false" ht="15.8" hidden="false" customHeight="false" outlineLevel="0" collapsed="false">
      <c r="A596" s="4" t="s">
        <v>755</v>
      </c>
      <c r="B596" s="4" t="s">
        <v>511</v>
      </c>
      <c r="C596" s="4" t="s">
        <v>506</v>
      </c>
      <c r="D596" s="4" t="s">
        <v>133</v>
      </c>
      <c r="E596" s="4" t="n">
        <v>2012</v>
      </c>
      <c r="F596" s="4" t="s">
        <v>544</v>
      </c>
      <c r="G596" s="13" t="n">
        <v>3</v>
      </c>
      <c r="H596" s="4" t="s">
        <v>770</v>
      </c>
      <c r="I596" s="4" t="s">
        <v>591</v>
      </c>
      <c r="J596" s="4" t="n">
        <v>1153</v>
      </c>
    </row>
    <row r="597" customFormat="false" ht="15.8" hidden="false" customHeight="false" outlineLevel="0" collapsed="false">
      <c r="A597" s="4" t="s">
        <v>755</v>
      </c>
      <c r="B597" s="4" t="s">
        <v>511</v>
      </c>
      <c r="C597" s="4" t="s">
        <v>506</v>
      </c>
      <c r="D597" s="4" t="s">
        <v>133</v>
      </c>
      <c r="E597" s="4" t="n">
        <v>2013</v>
      </c>
      <c r="F597" s="4" t="s">
        <v>527</v>
      </c>
      <c r="G597" s="13" t="n">
        <v>3.06</v>
      </c>
      <c r="H597" s="4" t="s">
        <v>940</v>
      </c>
      <c r="I597" s="4" t="s">
        <v>941</v>
      </c>
      <c r="J597" s="4" t="n">
        <v>1154</v>
      </c>
    </row>
    <row r="598" customFormat="false" ht="15.8" hidden="false" customHeight="false" outlineLevel="0" collapsed="false">
      <c r="A598" s="4" t="s">
        <v>755</v>
      </c>
      <c r="B598" s="4" t="s">
        <v>511</v>
      </c>
      <c r="C598" s="4" t="s">
        <v>506</v>
      </c>
      <c r="D598" s="4" t="s">
        <v>133</v>
      </c>
      <c r="E598" s="4" t="n">
        <v>2012</v>
      </c>
      <c r="F598" s="4" t="s">
        <v>544</v>
      </c>
      <c r="G598" s="13" t="n">
        <v>3.06</v>
      </c>
      <c r="H598" s="4" t="s">
        <v>942</v>
      </c>
      <c r="I598" s="4" t="s">
        <v>921</v>
      </c>
      <c r="J598" s="4" t="n">
        <v>1155</v>
      </c>
    </row>
    <row r="599" customFormat="false" ht="15.8" hidden="false" customHeight="false" outlineLevel="0" collapsed="false">
      <c r="A599" s="4" t="s">
        <v>755</v>
      </c>
      <c r="B599" s="4" t="s">
        <v>511</v>
      </c>
      <c r="C599" s="4" t="s">
        <v>506</v>
      </c>
      <c r="D599" s="4" t="s">
        <v>91</v>
      </c>
      <c r="E599" s="4" t="n">
        <v>2008</v>
      </c>
      <c r="F599" s="4" t="s">
        <v>538</v>
      </c>
      <c r="G599" s="13" t="n">
        <v>3.19</v>
      </c>
      <c r="H599" s="4" t="s">
        <v>633</v>
      </c>
      <c r="I599" s="4" t="s">
        <v>609</v>
      </c>
      <c r="J599" s="4" t="n">
        <v>1156</v>
      </c>
    </row>
    <row r="600" customFormat="false" ht="15.8" hidden="false" customHeight="false" outlineLevel="0" collapsed="false">
      <c r="A600" s="4" t="s">
        <v>755</v>
      </c>
      <c r="B600" s="4" t="s">
        <v>511</v>
      </c>
      <c r="C600" s="4" t="s">
        <v>506</v>
      </c>
      <c r="D600" s="4" t="s">
        <v>880</v>
      </c>
      <c r="E600" s="4" t="n">
        <v>2013</v>
      </c>
      <c r="F600" s="4" t="s">
        <v>538</v>
      </c>
      <c r="G600" s="13" t="n">
        <v>3.2</v>
      </c>
      <c r="H600" s="4" t="s">
        <v>770</v>
      </c>
      <c r="I600" s="4" t="s">
        <v>779</v>
      </c>
      <c r="J600" s="4" t="n">
        <v>1157</v>
      </c>
    </row>
    <row r="601" customFormat="false" ht="15.8" hidden="false" customHeight="false" outlineLevel="0" collapsed="false">
      <c r="A601" s="4" t="s">
        <v>755</v>
      </c>
      <c r="B601" s="4" t="s">
        <v>511</v>
      </c>
      <c r="C601" s="4" t="s">
        <v>506</v>
      </c>
      <c r="D601" s="4" t="s">
        <v>873</v>
      </c>
      <c r="E601" s="4" t="n">
        <v>2013</v>
      </c>
      <c r="F601" s="4" t="s">
        <v>538</v>
      </c>
      <c r="G601" s="13" t="n">
        <v>3.4</v>
      </c>
      <c r="H601" s="4" t="s">
        <v>770</v>
      </c>
      <c r="I601" s="4" t="s">
        <v>779</v>
      </c>
      <c r="J601" s="4" t="n">
        <v>1158</v>
      </c>
    </row>
    <row r="602" customFormat="false" ht="15.8" hidden="false" customHeight="false" outlineLevel="0" collapsed="false">
      <c r="A602" s="4" t="s">
        <v>755</v>
      </c>
      <c r="B602" s="4" t="s">
        <v>511</v>
      </c>
      <c r="C602" s="4" t="s">
        <v>506</v>
      </c>
      <c r="D602" s="4" t="s">
        <v>133</v>
      </c>
      <c r="E602" s="4" t="n">
        <v>2013</v>
      </c>
      <c r="F602" s="4" t="s">
        <v>527</v>
      </c>
      <c r="G602" s="13" t="n">
        <v>3.52</v>
      </c>
      <c r="H602" s="4" t="s">
        <v>943</v>
      </c>
      <c r="I602" s="4" t="s">
        <v>941</v>
      </c>
      <c r="J602" s="4" t="n">
        <v>1159</v>
      </c>
    </row>
    <row r="603" customFormat="false" ht="15.8" hidden="false" customHeight="false" outlineLevel="0" collapsed="false">
      <c r="A603" s="4" t="s">
        <v>755</v>
      </c>
      <c r="B603" s="4" t="s">
        <v>511</v>
      </c>
      <c r="C603" s="4" t="s">
        <v>506</v>
      </c>
      <c r="D603" s="4" t="s">
        <v>133</v>
      </c>
      <c r="E603" s="4" t="n">
        <v>2012</v>
      </c>
      <c r="F603" s="4" t="s">
        <v>544</v>
      </c>
      <c r="G603" s="13" t="n">
        <v>3.52</v>
      </c>
      <c r="H603" s="4" t="s">
        <v>919</v>
      </c>
      <c r="I603" s="4" t="s">
        <v>921</v>
      </c>
      <c r="J603" s="4" t="n">
        <v>1160</v>
      </c>
    </row>
    <row r="604" customFormat="false" ht="15.8" hidden="false" customHeight="false" outlineLevel="0" collapsed="false">
      <c r="A604" s="4" t="s">
        <v>755</v>
      </c>
      <c r="B604" s="4" t="s">
        <v>511</v>
      </c>
      <c r="C604" s="4" t="s">
        <v>506</v>
      </c>
      <c r="D604" s="4" t="s">
        <v>133</v>
      </c>
      <c r="E604" s="4" t="n">
        <v>2013</v>
      </c>
      <c r="F604" s="4" t="s">
        <v>527</v>
      </c>
      <c r="G604" s="13" t="n">
        <v>3.56</v>
      </c>
      <c r="H604" s="4" t="s">
        <v>367</v>
      </c>
      <c r="I604" s="4" t="s">
        <v>941</v>
      </c>
      <c r="J604" s="4" t="n">
        <v>1161</v>
      </c>
    </row>
    <row r="605" customFormat="false" ht="15.8" hidden="false" customHeight="false" outlineLevel="0" collapsed="false">
      <c r="A605" s="4" t="s">
        <v>755</v>
      </c>
      <c r="B605" s="4" t="s">
        <v>511</v>
      </c>
      <c r="C605" s="4" t="s">
        <v>506</v>
      </c>
      <c r="D605" s="4" t="s">
        <v>133</v>
      </c>
      <c r="E605" s="4" t="n">
        <v>2012</v>
      </c>
      <c r="F605" s="4" t="s">
        <v>544</v>
      </c>
      <c r="G605" s="13" t="n">
        <v>3.56</v>
      </c>
      <c r="H605" s="4" t="s">
        <v>547</v>
      </c>
      <c r="I605" s="4" t="s">
        <v>921</v>
      </c>
      <c r="J605" s="4" t="n">
        <v>1162</v>
      </c>
    </row>
    <row r="606" customFormat="false" ht="15.8" hidden="false" customHeight="false" outlineLevel="0" collapsed="false">
      <c r="A606" s="4" t="s">
        <v>755</v>
      </c>
      <c r="B606" s="4" t="s">
        <v>511</v>
      </c>
      <c r="C606" s="4" t="s">
        <v>506</v>
      </c>
      <c r="D606" s="4" t="s">
        <v>133</v>
      </c>
      <c r="E606" s="4" t="n">
        <v>2013</v>
      </c>
      <c r="F606" s="4" t="s">
        <v>527</v>
      </c>
      <c r="G606" s="13" t="n">
        <v>3.59</v>
      </c>
      <c r="H606" s="4" t="s">
        <v>944</v>
      </c>
      <c r="I606" s="4" t="s">
        <v>941</v>
      </c>
      <c r="J606" s="4" t="n">
        <v>1163</v>
      </c>
    </row>
    <row r="607" customFormat="false" ht="15.8" hidden="false" customHeight="false" outlineLevel="0" collapsed="false">
      <c r="A607" s="4" t="s">
        <v>755</v>
      </c>
      <c r="B607" s="4" t="s">
        <v>511</v>
      </c>
      <c r="C607" s="4" t="s">
        <v>506</v>
      </c>
      <c r="D607" s="4" t="s">
        <v>133</v>
      </c>
      <c r="E607" s="4" t="n">
        <v>2012</v>
      </c>
      <c r="F607" s="4" t="s">
        <v>544</v>
      </c>
      <c r="G607" s="13" t="n">
        <v>3.59</v>
      </c>
      <c r="H607" s="4" t="s">
        <v>920</v>
      </c>
      <c r="I607" s="4" t="s">
        <v>921</v>
      </c>
      <c r="J607" s="4" t="n">
        <v>1164</v>
      </c>
    </row>
    <row r="608" customFormat="false" ht="15.8" hidden="false" customHeight="false" outlineLevel="0" collapsed="false">
      <c r="A608" s="4" t="s">
        <v>755</v>
      </c>
      <c r="B608" s="4" t="s">
        <v>511</v>
      </c>
      <c r="C608" s="4" t="s">
        <v>506</v>
      </c>
      <c r="D608" s="4" t="s">
        <v>477</v>
      </c>
      <c r="E608" s="4" t="n">
        <v>2013</v>
      </c>
      <c r="F608" s="4" t="s">
        <v>527</v>
      </c>
      <c r="G608" s="13" t="n">
        <v>3.77</v>
      </c>
      <c r="H608" s="4" t="s">
        <v>770</v>
      </c>
      <c r="I608" s="4" t="s">
        <v>569</v>
      </c>
      <c r="J608" s="4" t="n">
        <v>1165</v>
      </c>
    </row>
    <row r="609" customFormat="false" ht="15.8" hidden="false" customHeight="false" outlineLevel="0" collapsed="false">
      <c r="A609" s="4" t="s">
        <v>755</v>
      </c>
      <c r="B609" s="4" t="s">
        <v>511</v>
      </c>
      <c r="C609" s="4" t="s">
        <v>506</v>
      </c>
      <c r="D609" s="4" t="s">
        <v>922</v>
      </c>
      <c r="E609" s="4" t="n">
        <v>2013</v>
      </c>
      <c r="F609" s="4" t="s">
        <v>538</v>
      </c>
      <c r="G609" s="13" t="n">
        <v>3.8</v>
      </c>
      <c r="I609" s="4" t="s">
        <v>779</v>
      </c>
      <c r="J609" s="4" t="n">
        <v>1166</v>
      </c>
    </row>
    <row r="610" customFormat="false" ht="15.8" hidden="false" customHeight="false" outlineLevel="0" collapsed="false">
      <c r="A610" s="4" t="s">
        <v>755</v>
      </c>
      <c r="B610" s="4" t="s">
        <v>511</v>
      </c>
      <c r="C610" s="4" t="s">
        <v>506</v>
      </c>
      <c r="D610" s="4" t="s">
        <v>133</v>
      </c>
      <c r="E610" s="4" t="n">
        <v>2012</v>
      </c>
      <c r="F610" s="4" t="s">
        <v>574</v>
      </c>
      <c r="G610" s="13" t="n">
        <v>3.87</v>
      </c>
      <c r="H610" s="4" t="s">
        <v>945</v>
      </c>
      <c r="I610" s="4" t="s">
        <v>946</v>
      </c>
      <c r="J610" s="4" t="n">
        <v>1167</v>
      </c>
    </row>
    <row r="611" customFormat="false" ht="15.8" hidden="false" customHeight="false" outlineLevel="0" collapsed="false">
      <c r="A611" s="4" t="s">
        <v>755</v>
      </c>
      <c r="B611" s="4" t="s">
        <v>511</v>
      </c>
      <c r="C611" s="4" t="s">
        <v>506</v>
      </c>
      <c r="D611" s="4" t="s">
        <v>103</v>
      </c>
      <c r="E611" s="4" t="n">
        <v>2008</v>
      </c>
      <c r="F611" s="4" t="s">
        <v>544</v>
      </c>
      <c r="G611" s="13" t="n">
        <v>4.038</v>
      </c>
      <c r="H611" s="4" t="s">
        <v>547</v>
      </c>
      <c r="I611" s="4" t="s">
        <v>947</v>
      </c>
      <c r="J611" s="4" t="n">
        <v>1168</v>
      </c>
    </row>
    <row r="612" customFormat="false" ht="15.8" hidden="false" customHeight="false" outlineLevel="0" collapsed="false">
      <c r="A612" s="4" t="s">
        <v>755</v>
      </c>
      <c r="B612" s="4" t="s">
        <v>511</v>
      </c>
      <c r="C612" s="4" t="s">
        <v>506</v>
      </c>
      <c r="D612" s="4" t="s">
        <v>838</v>
      </c>
      <c r="E612" s="4" t="n">
        <v>2013</v>
      </c>
      <c r="F612" s="4" t="s">
        <v>538</v>
      </c>
      <c r="G612" s="13" t="n">
        <v>4.05</v>
      </c>
      <c r="H612" s="4" t="s">
        <v>770</v>
      </c>
      <c r="I612" s="4" t="s">
        <v>779</v>
      </c>
      <c r="J612" s="4" t="n">
        <v>1169</v>
      </c>
    </row>
    <row r="613" customFormat="false" ht="15.8" hidden="false" customHeight="false" outlineLevel="0" collapsed="false">
      <c r="A613" s="4" t="s">
        <v>755</v>
      </c>
      <c r="B613" s="4" t="s">
        <v>511</v>
      </c>
      <c r="C613" s="4" t="s">
        <v>506</v>
      </c>
      <c r="D613" s="4" t="s">
        <v>877</v>
      </c>
      <c r="E613" s="4" t="n">
        <v>2013</v>
      </c>
      <c r="F613" s="4" t="s">
        <v>538</v>
      </c>
      <c r="G613" s="13" t="n">
        <v>4.2</v>
      </c>
      <c r="H613" s="4" t="s">
        <v>770</v>
      </c>
      <c r="I613" s="4" t="s">
        <v>779</v>
      </c>
      <c r="J613" s="4" t="n">
        <v>1170</v>
      </c>
    </row>
    <row r="614" customFormat="false" ht="15.8" hidden="false" customHeight="false" outlineLevel="0" collapsed="false">
      <c r="A614" s="4" t="s">
        <v>755</v>
      </c>
      <c r="B614" s="4" t="s">
        <v>511</v>
      </c>
      <c r="C614" s="4" t="s">
        <v>506</v>
      </c>
      <c r="D614" s="4" t="s">
        <v>133</v>
      </c>
      <c r="E614" s="4" t="n">
        <v>2012</v>
      </c>
      <c r="F614" s="4" t="s">
        <v>601</v>
      </c>
      <c r="G614" s="13" t="n">
        <v>4.41794871794872</v>
      </c>
      <c r="H614" s="4" t="s">
        <v>770</v>
      </c>
      <c r="I614" s="4" t="s">
        <v>637</v>
      </c>
      <c r="J614" s="4" t="n">
        <v>1171</v>
      </c>
    </row>
    <row r="615" customFormat="false" ht="15.8" hidden="false" customHeight="false" outlineLevel="0" collapsed="false">
      <c r="A615" s="4" t="s">
        <v>755</v>
      </c>
      <c r="B615" s="4" t="s">
        <v>511</v>
      </c>
      <c r="C615" s="4" t="s">
        <v>506</v>
      </c>
      <c r="D615" s="4" t="s">
        <v>133</v>
      </c>
      <c r="E615" s="4" t="n">
        <v>2006</v>
      </c>
      <c r="F615" s="4" t="s">
        <v>538</v>
      </c>
      <c r="G615" s="13" t="n">
        <v>4.6</v>
      </c>
      <c r="H615" s="4" t="s">
        <v>770</v>
      </c>
      <c r="I615" s="4" t="s">
        <v>572</v>
      </c>
      <c r="J615" s="4" t="n">
        <v>1172</v>
      </c>
    </row>
    <row r="616" customFormat="false" ht="15.8" hidden="false" customHeight="false" outlineLevel="0" collapsed="false">
      <c r="A616" s="4" t="s">
        <v>755</v>
      </c>
      <c r="B616" s="4" t="s">
        <v>511</v>
      </c>
      <c r="C616" s="4" t="s">
        <v>506</v>
      </c>
      <c r="D616" s="4" t="s">
        <v>133</v>
      </c>
      <c r="E616" s="4" t="n">
        <v>2012</v>
      </c>
      <c r="F616" s="4" t="s">
        <v>601</v>
      </c>
      <c r="G616" s="13" t="n">
        <v>4.93333333333333</v>
      </c>
      <c r="H616" s="4" t="s">
        <v>547</v>
      </c>
      <c r="I616" s="4" t="s">
        <v>637</v>
      </c>
      <c r="J616" s="4" t="n">
        <v>1173</v>
      </c>
    </row>
    <row r="617" customFormat="false" ht="15.8" hidden="false" customHeight="false" outlineLevel="0" collapsed="false">
      <c r="A617" s="4" t="s">
        <v>755</v>
      </c>
      <c r="B617" s="4" t="s">
        <v>511</v>
      </c>
      <c r="C617" s="4" t="s">
        <v>506</v>
      </c>
      <c r="D617" s="4" t="s">
        <v>948</v>
      </c>
      <c r="E617" s="4" t="n">
        <v>2013</v>
      </c>
      <c r="F617" s="4" t="s">
        <v>527</v>
      </c>
      <c r="G617" s="13" t="n">
        <v>5.15</v>
      </c>
      <c r="H617" s="4" t="s">
        <v>949</v>
      </c>
      <c r="I617" s="4" t="s">
        <v>950</v>
      </c>
      <c r="J617" s="4" t="n">
        <v>1174</v>
      </c>
    </row>
    <row r="618" customFormat="false" ht="15.8" hidden="false" customHeight="false" outlineLevel="0" collapsed="false">
      <c r="A618" s="4" t="s">
        <v>755</v>
      </c>
      <c r="B618" s="4" t="s">
        <v>511</v>
      </c>
      <c r="C618" s="4" t="s">
        <v>506</v>
      </c>
      <c r="D618" s="4" t="s">
        <v>948</v>
      </c>
      <c r="E618" s="4" t="n">
        <v>2013</v>
      </c>
      <c r="F618" s="4" t="s">
        <v>527</v>
      </c>
      <c r="G618" s="13" t="n">
        <v>5.2</v>
      </c>
      <c r="H618" s="4" t="s">
        <v>949</v>
      </c>
      <c r="I618" s="4" t="s">
        <v>950</v>
      </c>
      <c r="J618" s="4" t="n">
        <v>1175</v>
      </c>
    </row>
    <row r="619" customFormat="false" ht="15.8" hidden="false" customHeight="false" outlineLevel="0" collapsed="false">
      <c r="A619" s="4" t="s">
        <v>755</v>
      </c>
      <c r="B619" s="4" t="s">
        <v>511</v>
      </c>
      <c r="C619" s="4" t="s">
        <v>506</v>
      </c>
      <c r="D619" s="4" t="s">
        <v>948</v>
      </c>
      <c r="E619" s="4" t="n">
        <v>2013</v>
      </c>
      <c r="F619" s="4" t="s">
        <v>527</v>
      </c>
      <c r="G619" s="13" t="n">
        <v>5.3</v>
      </c>
      <c r="H619" s="4" t="s">
        <v>949</v>
      </c>
      <c r="I619" s="4" t="s">
        <v>950</v>
      </c>
      <c r="J619" s="4" t="n">
        <v>1176</v>
      </c>
    </row>
    <row r="620" customFormat="false" ht="15.8" hidden="false" customHeight="false" outlineLevel="0" collapsed="false">
      <c r="A620" s="4" t="s">
        <v>755</v>
      </c>
      <c r="B620" s="4" t="s">
        <v>511</v>
      </c>
      <c r="C620" s="4" t="s">
        <v>506</v>
      </c>
      <c r="D620" s="4" t="s">
        <v>133</v>
      </c>
      <c r="E620" s="4" t="n">
        <v>2006</v>
      </c>
      <c r="F620" s="4" t="s">
        <v>538</v>
      </c>
      <c r="G620" s="13" t="n">
        <v>5.8</v>
      </c>
      <c r="H620" s="4" t="s">
        <v>547</v>
      </c>
      <c r="I620" s="4" t="s">
        <v>572</v>
      </c>
      <c r="J620" s="4" t="n">
        <v>1177</v>
      </c>
    </row>
    <row r="621" customFormat="false" ht="15.8" hidden="false" customHeight="false" outlineLevel="0" collapsed="false">
      <c r="A621" s="4" t="s">
        <v>755</v>
      </c>
      <c r="B621" s="4" t="s">
        <v>511</v>
      </c>
      <c r="C621" s="4" t="s">
        <v>506</v>
      </c>
      <c r="D621" s="4" t="s">
        <v>879</v>
      </c>
      <c r="E621" s="4" t="n">
        <v>2013</v>
      </c>
      <c r="F621" s="4" t="s">
        <v>538</v>
      </c>
      <c r="G621" s="13" t="n">
        <v>6</v>
      </c>
      <c r="H621" s="4" t="s">
        <v>770</v>
      </c>
      <c r="I621" s="4" t="s">
        <v>779</v>
      </c>
      <c r="J621" s="4" t="n">
        <v>1178</v>
      </c>
    </row>
    <row r="622" customFormat="false" ht="15.8" hidden="false" customHeight="false" outlineLevel="0" collapsed="false">
      <c r="A622" s="4" t="s">
        <v>755</v>
      </c>
      <c r="B622" s="4" t="s">
        <v>511</v>
      </c>
      <c r="C622" s="4" t="s">
        <v>506</v>
      </c>
      <c r="D622" s="4" t="s">
        <v>91</v>
      </c>
      <c r="E622" s="4" t="n">
        <v>2008</v>
      </c>
      <c r="F622" s="4" t="s">
        <v>538</v>
      </c>
      <c r="G622" s="13" t="s">
        <v>951</v>
      </c>
      <c r="H622" s="4" t="s">
        <v>608</v>
      </c>
      <c r="I622" s="4" t="s">
        <v>609</v>
      </c>
      <c r="J622" s="4" t="n">
        <v>1179</v>
      </c>
    </row>
    <row r="623" customFormat="false" ht="15.8" hidden="false" customHeight="false" outlineLevel="0" collapsed="false">
      <c r="A623" s="4" t="s">
        <v>755</v>
      </c>
      <c r="B623" s="4" t="s">
        <v>952</v>
      </c>
      <c r="C623" s="4" t="s">
        <v>953</v>
      </c>
      <c r="D623" s="4" t="s">
        <v>120</v>
      </c>
      <c r="E623" s="4" t="n">
        <v>2011</v>
      </c>
      <c r="F623" s="4" t="s">
        <v>527</v>
      </c>
      <c r="G623" s="13" t="n">
        <v>2.11</v>
      </c>
      <c r="I623" s="4" t="s">
        <v>598</v>
      </c>
      <c r="J623" s="4" t="n">
        <v>1310</v>
      </c>
    </row>
    <row r="624" customFormat="false" ht="15.8" hidden="false" customHeight="false" outlineLevel="0" collapsed="false">
      <c r="A624" s="4" t="s">
        <v>755</v>
      </c>
      <c r="B624" s="4" t="s">
        <v>952</v>
      </c>
      <c r="C624" s="4" t="s">
        <v>953</v>
      </c>
      <c r="D624" s="4" t="s">
        <v>121</v>
      </c>
      <c r="E624" s="4" t="n">
        <v>2011</v>
      </c>
      <c r="F624" s="4" t="s">
        <v>527</v>
      </c>
      <c r="G624" s="13" t="n">
        <v>3.2</v>
      </c>
      <c r="I624" s="4" t="s">
        <v>598</v>
      </c>
      <c r="J624" s="4" t="n">
        <v>1311</v>
      </c>
    </row>
    <row r="625" customFormat="false" ht="15.8" hidden="false" customHeight="false" outlineLevel="0" collapsed="false">
      <c r="A625" s="4" t="s">
        <v>755</v>
      </c>
      <c r="B625" s="4" t="s">
        <v>952</v>
      </c>
      <c r="C625" s="4" t="s">
        <v>953</v>
      </c>
      <c r="D625" s="4" t="s">
        <v>129</v>
      </c>
      <c r="E625" s="4" t="n">
        <v>2011</v>
      </c>
      <c r="F625" s="4" t="s">
        <v>527</v>
      </c>
      <c r="G625" s="13" t="n">
        <v>3.3</v>
      </c>
      <c r="I625" s="4" t="s">
        <v>598</v>
      </c>
      <c r="J625" s="4" t="n">
        <v>1312</v>
      </c>
    </row>
    <row r="626" customFormat="false" ht="15.8" hidden="false" customHeight="false" outlineLevel="0" collapsed="false">
      <c r="A626" s="4" t="s">
        <v>755</v>
      </c>
      <c r="B626" s="4" t="s">
        <v>952</v>
      </c>
      <c r="C626" s="4" t="s">
        <v>953</v>
      </c>
      <c r="D626" s="4" t="s">
        <v>133</v>
      </c>
      <c r="E626" s="4" t="n">
        <v>2011</v>
      </c>
      <c r="F626" s="4" t="s">
        <v>527</v>
      </c>
      <c r="G626" s="13" t="n">
        <v>3.5</v>
      </c>
      <c r="H626" s="4" t="s">
        <v>597</v>
      </c>
      <c r="I626" s="4" t="s">
        <v>598</v>
      </c>
      <c r="J626" s="4" t="n">
        <v>1313</v>
      </c>
    </row>
    <row r="627" customFormat="false" ht="15.8" hidden="false" customHeight="false" outlineLevel="0" collapsed="false">
      <c r="A627" s="4" t="s">
        <v>755</v>
      </c>
      <c r="B627" s="4" t="s">
        <v>952</v>
      </c>
      <c r="C627" s="4" t="s">
        <v>953</v>
      </c>
      <c r="D627" s="4" t="s">
        <v>131</v>
      </c>
      <c r="E627" s="4" t="n">
        <v>2004</v>
      </c>
      <c r="F627" s="4" t="s">
        <v>538</v>
      </c>
      <c r="G627" s="13" t="n">
        <v>3.6</v>
      </c>
      <c r="H627" s="4" t="s">
        <v>954</v>
      </c>
      <c r="I627" s="4" t="s">
        <v>955</v>
      </c>
      <c r="J627" s="4" t="n">
        <v>1314</v>
      </c>
    </row>
    <row r="628" customFormat="false" ht="15.8" hidden="false" customHeight="false" outlineLevel="0" collapsed="false">
      <c r="A628" s="4" t="s">
        <v>755</v>
      </c>
      <c r="B628" s="4" t="s">
        <v>952</v>
      </c>
      <c r="C628" s="4" t="s">
        <v>953</v>
      </c>
      <c r="D628" s="4" t="s">
        <v>101</v>
      </c>
      <c r="E628" s="4" t="n">
        <v>2007</v>
      </c>
      <c r="F628" s="4" t="s">
        <v>538</v>
      </c>
      <c r="G628" s="13" t="n">
        <v>3.64</v>
      </c>
      <c r="I628" s="4" t="s">
        <v>956</v>
      </c>
      <c r="J628" s="4" t="n">
        <v>1315</v>
      </c>
    </row>
    <row r="629" customFormat="false" ht="15.8" hidden="false" customHeight="false" outlineLevel="0" collapsed="false">
      <c r="A629" s="4" t="s">
        <v>755</v>
      </c>
      <c r="B629" s="4" t="s">
        <v>952</v>
      </c>
      <c r="C629" s="4" t="s">
        <v>953</v>
      </c>
      <c r="D629" s="4" t="s">
        <v>133</v>
      </c>
      <c r="E629" s="4" t="n">
        <v>2007</v>
      </c>
      <c r="F629" s="4" t="s">
        <v>538</v>
      </c>
      <c r="G629" s="13" t="n">
        <v>3.64</v>
      </c>
      <c r="H629" s="4" t="s">
        <v>957</v>
      </c>
      <c r="I629" s="4" t="s">
        <v>956</v>
      </c>
      <c r="J629" s="4" t="n">
        <v>1316</v>
      </c>
    </row>
    <row r="630" customFormat="false" ht="15.8" hidden="false" customHeight="false" outlineLevel="0" collapsed="false">
      <c r="A630" s="4" t="s">
        <v>755</v>
      </c>
      <c r="B630" s="4" t="s">
        <v>952</v>
      </c>
      <c r="C630" s="4" t="s">
        <v>953</v>
      </c>
      <c r="D630" s="4" t="s">
        <v>104</v>
      </c>
      <c r="E630" s="4" t="n">
        <v>2011</v>
      </c>
      <c r="F630" s="4" t="s">
        <v>527</v>
      </c>
      <c r="G630" s="13" t="n">
        <v>3.68</v>
      </c>
      <c r="H630" s="4" t="s">
        <v>597</v>
      </c>
      <c r="I630" s="4" t="s">
        <v>598</v>
      </c>
      <c r="J630" s="4" t="n">
        <v>1317</v>
      </c>
    </row>
    <row r="631" customFormat="false" ht="15.8" hidden="false" customHeight="false" outlineLevel="0" collapsed="false">
      <c r="A631" s="4" t="s">
        <v>755</v>
      </c>
      <c r="B631" s="4" t="s">
        <v>952</v>
      </c>
      <c r="C631" s="4" t="s">
        <v>953</v>
      </c>
      <c r="D631" s="4" t="s">
        <v>130</v>
      </c>
      <c r="E631" s="4" t="n">
        <v>2011</v>
      </c>
      <c r="F631" s="4" t="s">
        <v>527</v>
      </c>
      <c r="G631" s="13" t="n">
        <v>3.72</v>
      </c>
      <c r="I631" s="4" t="s">
        <v>598</v>
      </c>
      <c r="J631" s="4" t="n">
        <v>1318</v>
      </c>
    </row>
    <row r="632" customFormat="false" ht="15.8" hidden="false" customHeight="false" outlineLevel="0" collapsed="false">
      <c r="A632" s="4" t="s">
        <v>755</v>
      </c>
      <c r="B632" s="4" t="s">
        <v>952</v>
      </c>
      <c r="C632" s="4" t="s">
        <v>953</v>
      </c>
      <c r="D632" s="4" t="s">
        <v>131</v>
      </c>
      <c r="E632" s="4" t="n">
        <v>2011</v>
      </c>
      <c r="F632" s="4" t="s">
        <v>527</v>
      </c>
      <c r="G632" s="13" t="n">
        <v>3.72</v>
      </c>
      <c r="I632" s="4" t="s">
        <v>598</v>
      </c>
      <c r="J632" s="4" t="n">
        <v>1319</v>
      </c>
    </row>
    <row r="633" customFormat="false" ht="15.8" hidden="false" customHeight="false" outlineLevel="0" collapsed="false">
      <c r="A633" s="4" t="s">
        <v>755</v>
      </c>
      <c r="B633" s="4" t="s">
        <v>952</v>
      </c>
      <c r="C633" s="4" t="s">
        <v>953</v>
      </c>
      <c r="D633" s="4" t="s">
        <v>103</v>
      </c>
      <c r="E633" s="4" t="n">
        <v>2007</v>
      </c>
      <c r="F633" s="4" t="s">
        <v>538</v>
      </c>
      <c r="G633" s="13" t="n">
        <v>3.74</v>
      </c>
      <c r="H633" s="4" t="s">
        <v>957</v>
      </c>
      <c r="I633" s="4" t="s">
        <v>956</v>
      </c>
      <c r="J633" s="4" t="n">
        <v>1320</v>
      </c>
    </row>
    <row r="634" customFormat="false" ht="15.8" hidden="false" customHeight="false" outlineLevel="0" collapsed="false">
      <c r="A634" s="4" t="s">
        <v>755</v>
      </c>
      <c r="B634" s="4" t="s">
        <v>952</v>
      </c>
      <c r="C634" s="4" t="s">
        <v>953</v>
      </c>
      <c r="D634" s="4" t="s">
        <v>91</v>
      </c>
      <c r="E634" s="4" t="n">
        <v>2014</v>
      </c>
      <c r="F634" s="4" t="s">
        <v>544</v>
      </c>
      <c r="G634" s="13" t="n">
        <v>3.78651162790698</v>
      </c>
      <c r="H634" s="4" t="s">
        <v>958</v>
      </c>
      <c r="I634" s="4" t="s">
        <v>959</v>
      </c>
      <c r="J634" s="4" t="n">
        <v>1321</v>
      </c>
    </row>
    <row r="635" customFormat="false" ht="15.8" hidden="false" customHeight="false" outlineLevel="0" collapsed="false">
      <c r="A635" s="4" t="s">
        <v>755</v>
      </c>
      <c r="B635" s="4" t="s">
        <v>952</v>
      </c>
      <c r="C635" s="4" t="s">
        <v>953</v>
      </c>
      <c r="D635" s="4" t="s">
        <v>91</v>
      </c>
      <c r="E635" s="4" t="n">
        <v>2014</v>
      </c>
      <c r="F635" s="4" t="s">
        <v>544</v>
      </c>
      <c r="G635" s="13" t="n">
        <v>3.83302325581395</v>
      </c>
      <c r="H635" s="4" t="s">
        <v>960</v>
      </c>
      <c r="I635" s="4" t="s">
        <v>959</v>
      </c>
      <c r="J635" s="4" t="n">
        <v>1322</v>
      </c>
    </row>
    <row r="636" customFormat="false" ht="15.8" hidden="false" customHeight="false" outlineLevel="0" collapsed="false">
      <c r="A636" s="4" t="s">
        <v>755</v>
      </c>
      <c r="B636" s="4" t="s">
        <v>952</v>
      </c>
      <c r="C636" s="4" t="s">
        <v>953</v>
      </c>
      <c r="D636" s="4" t="s">
        <v>95</v>
      </c>
      <c r="E636" s="4" t="n">
        <v>2007</v>
      </c>
      <c r="F636" s="4" t="s">
        <v>538</v>
      </c>
      <c r="G636" s="13" t="n">
        <v>3.84</v>
      </c>
      <c r="I636" s="4" t="s">
        <v>956</v>
      </c>
      <c r="J636" s="4" t="n">
        <v>1323</v>
      </c>
    </row>
    <row r="637" customFormat="false" ht="15.8" hidden="false" customHeight="false" outlineLevel="0" collapsed="false">
      <c r="A637" s="4" t="s">
        <v>755</v>
      </c>
      <c r="B637" s="4" t="s">
        <v>952</v>
      </c>
      <c r="C637" s="4" t="s">
        <v>953</v>
      </c>
      <c r="D637" s="4" t="s">
        <v>153</v>
      </c>
      <c r="E637" s="4" t="n">
        <v>2010</v>
      </c>
      <c r="F637" s="4" t="s">
        <v>538</v>
      </c>
      <c r="G637" s="13" t="n">
        <v>3.89830508474576</v>
      </c>
      <c r="H637" s="4" t="s">
        <v>961</v>
      </c>
      <c r="I637" s="4" t="s">
        <v>962</v>
      </c>
      <c r="J637" s="4" t="n">
        <v>1324</v>
      </c>
    </row>
    <row r="638" customFormat="false" ht="15.8" hidden="false" customHeight="false" outlineLevel="0" collapsed="false">
      <c r="A638" s="4" t="s">
        <v>755</v>
      </c>
      <c r="B638" s="4" t="s">
        <v>952</v>
      </c>
      <c r="C638" s="4" t="s">
        <v>953</v>
      </c>
      <c r="D638" s="4" t="s">
        <v>101</v>
      </c>
      <c r="E638" s="4" t="n">
        <v>2011</v>
      </c>
      <c r="F638" s="4" t="s">
        <v>527</v>
      </c>
      <c r="G638" s="13" t="n">
        <v>3.9</v>
      </c>
      <c r="H638" s="4" t="s">
        <v>597</v>
      </c>
      <c r="I638" s="4" t="s">
        <v>598</v>
      </c>
      <c r="J638" s="4" t="n">
        <v>1325</v>
      </c>
    </row>
    <row r="639" customFormat="false" ht="15.8" hidden="false" customHeight="false" outlineLevel="0" collapsed="false">
      <c r="A639" s="4" t="s">
        <v>755</v>
      </c>
      <c r="B639" s="4" t="s">
        <v>952</v>
      </c>
      <c r="C639" s="4" t="s">
        <v>953</v>
      </c>
      <c r="D639" s="4" t="s">
        <v>125</v>
      </c>
      <c r="E639" s="4" t="n">
        <v>2011</v>
      </c>
      <c r="F639" s="4" t="s">
        <v>527</v>
      </c>
      <c r="G639" s="13" t="n">
        <v>3.95</v>
      </c>
      <c r="I639" s="4" t="s">
        <v>598</v>
      </c>
      <c r="J639" s="4" t="n">
        <v>1326</v>
      </c>
    </row>
    <row r="640" customFormat="false" ht="15.8" hidden="false" customHeight="false" outlineLevel="0" collapsed="false">
      <c r="A640" s="4" t="s">
        <v>755</v>
      </c>
      <c r="B640" s="4" t="s">
        <v>952</v>
      </c>
      <c r="C640" s="4" t="s">
        <v>953</v>
      </c>
      <c r="D640" s="4" t="s">
        <v>91</v>
      </c>
      <c r="E640" s="4" t="n">
        <v>2014</v>
      </c>
      <c r="F640" s="4" t="s">
        <v>544</v>
      </c>
      <c r="G640" s="13" t="n">
        <v>4.01906976744186</v>
      </c>
      <c r="H640" s="4" t="s">
        <v>963</v>
      </c>
      <c r="I640" s="4" t="s">
        <v>959</v>
      </c>
      <c r="J640" s="4" t="n">
        <v>1327</v>
      </c>
    </row>
    <row r="641" customFormat="false" ht="15.8" hidden="false" customHeight="false" outlineLevel="0" collapsed="false">
      <c r="A641" s="4" t="s">
        <v>755</v>
      </c>
      <c r="B641" s="4" t="s">
        <v>952</v>
      </c>
      <c r="C641" s="4" t="s">
        <v>953</v>
      </c>
      <c r="D641" s="4" t="s">
        <v>131</v>
      </c>
      <c r="E641" s="4" t="n">
        <v>2004</v>
      </c>
      <c r="F641" s="4" t="s">
        <v>538</v>
      </c>
      <c r="G641" s="13" t="n">
        <v>4.1</v>
      </c>
      <c r="H641" s="4" t="s">
        <v>964</v>
      </c>
      <c r="I641" s="4" t="s">
        <v>955</v>
      </c>
      <c r="J641" s="4" t="n">
        <v>1328</v>
      </c>
    </row>
    <row r="642" customFormat="false" ht="15.8" hidden="false" customHeight="false" outlineLevel="0" collapsed="false">
      <c r="A642" s="4" t="s">
        <v>755</v>
      </c>
      <c r="B642" s="4" t="s">
        <v>952</v>
      </c>
      <c r="C642" s="4" t="s">
        <v>953</v>
      </c>
      <c r="D642" s="4" t="s">
        <v>96</v>
      </c>
      <c r="E642" s="4" t="n">
        <v>2011</v>
      </c>
      <c r="F642" s="4" t="s">
        <v>527</v>
      </c>
      <c r="G642" s="13" t="n">
        <v>4.1</v>
      </c>
      <c r="I642" s="4" t="s">
        <v>598</v>
      </c>
      <c r="J642" s="4" t="n">
        <v>1329</v>
      </c>
    </row>
    <row r="643" customFormat="false" ht="15.8" hidden="false" customHeight="false" outlineLevel="0" collapsed="false">
      <c r="A643" s="4" t="s">
        <v>755</v>
      </c>
      <c r="B643" s="4" t="s">
        <v>952</v>
      </c>
      <c r="C643" s="4" t="s">
        <v>953</v>
      </c>
      <c r="D643" s="4" t="s">
        <v>101</v>
      </c>
      <c r="E643" s="4" t="n">
        <v>2007</v>
      </c>
      <c r="F643" s="4" t="s">
        <v>538</v>
      </c>
      <c r="G643" s="13" t="n">
        <v>4.14</v>
      </c>
      <c r="I643" s="4" t="s">
        <v>956</v>
      </c>
      <c r="J643" s="4" t="n">
        <v>1330</v>
      </c>
    </row>
    <row r="644" customFormat="false" ht="15.8" hidden="false" customHeight="false" outlineLevel="0" collapsed="false">
      <c r="A644" s="4" t="s">
        <v>755</v>
      </c>
      <c r="B644" s="4" t="s">
        <v>952</v>
      </c>
      <c r="C644" s="4" t="s">
        <v>953</v>
      </c>
      <c r="D644" s="4" t="s">
        <v>965</v>
      </c>
      <c r="E644" s="4" t="n">
        <v>2014</v>
      </c>
      <c r="F644" s="4" t="s">
        <v>544</v>
      </c>
      <c r="G644" s="13" t="n">
        <v>4.15860465116279</v>
      </c>
      <c r="H644" s="4" t="s">
        <v>966</v>
      </c>
      <c r="I644" s="4" t="s">
        <v>967</v>
      </c>
      <c r="J644" s="4" t="n">
        <v>1331</v>
      </c>
    </row>
    <row r="645" customFormat="false" ht="15.8" hidden="false" customHeight="false" outlineLevel="0" collapsed="false">
      <c r="A645" s="4" t="s">
        <v>755</v>
      </c>
      <c r="B645" s="4" t="s">
        <v>952</v>
      </c>
      <c r="C645" s="4" t="s">
        <v>953</v>
      </c>
      <c r="D645" s="4" t="s">
        <v>91</v>
      </c>
      <c r="E645" s="4" t="n">
        <v>2011</v>
      </c>
      <c r="F645" s="4" t="s">
        <v>527</v>
      </c>
      <c r="G645" s="13" t="n">
        <v>4.2</v>
      </c>
      <c r="I645" s="4" t="s">
        <v>598</v>
      </c>
      <c r="J645" s="4" t="n">
        <v>1332</v>
      </c>
    </row>
    <row r="646" customFormat="false" ht="15.8" hidden="false" customHeight="false" outlineLevel="0" collapsed="false">
      <c r="A646" s="4" t="s">
        <v>755</v>
      </c>
      <c r="B646" s="4" t="s">
        <v>952</v>
      </c>
      <c r="C646" s="4" t="s">
        <v>953</v>
      </c>
      <c r="D646" s="4" t="s">
        <v>91</v>
      </c>
      <c r="E646" s="4" t="n">
        <v>2014</v>
      </c>
      <c r="F646" s="4" t="s">
        <v>544</v>
      </c>
      <c r="G646" s="13" t="n">
        <v>4.25162790697674</v>
      </c>
      <c r="H646" s="4" t="s">
        <v>968</v>
      </c>
      <c r="I646" s="4" t="s">
        <v>959</v>
      </c>
      <c r="J646" s="4" t="n">
        <v>1333</v>
      </c>
    </row>
    <row r="647" customFormat="false" ht="15.8" hidden="false" customHeight="false" outlineLevel="0" collapsed="false">
      <c r="A647" s="4" t="s">
        <v>755</v>
      </c>
      <c r="B647" s="4" t="s">
        <v>952</v>
      </c>
      <c r="C647" s="4" t="s">
        <v>953</v>
      </c>
      <c r="D647" s="4" t="s">
        <v>109</v>
      </c>
      <c r="E647" s="4" t="n">
        <v>2011</v>
      </c>
      <c r="F647" s="4" t="s">
        <v>527</v>
      </c>
      <c r="G647" s="13" t="n">
        <v>4.3</v>
      </c>
      <c r="H647" s="4" t="s">
        <v>597</v>
      </c>
      <c r="I647" s="4" t="s">
        <v>598</v>
      </c>
      <c r="J647" s="4" t="n">
        <v>1334</v>
      </c>
    </row>
    <row r="648" customFormat="false" ht="15.8" hidden="false" customHeight="false" outlineLevel="0" collapsed="false">
      <c r="A648" s="4" t="s">
        <v>755</v>
      </c>
      <c r="B648" s="4" t="s">
        <v>952</v>
      </c>
      <c r="C648" s="4" t="s">
        <v>953</v>
      </c>
      <c r="D648" s="4" t="s">
        <v>111</v>
      </c>
      <c r="E648" s="4" t="n">
        <v>2011</v>
      </c>
      <c r="F648" s="4" t="s">
        <v>527</v>
      </c>
      <c r="G648" s="13" t="n">
        <v>4.3</v>
      </c>
      <c r="H648" s="4" t="s">
        <v>597</v>
      </c>
      <c r="I648" s="4" t="s">
        <v>598</v>
      </c>
      <c r="J648" s="4" t="n">
        <v>1335</v>
      </c>
    </row>
    <row r="649" customFormat="false" ht="15.8" hidden="false" customHeight="false" outlineLevel="0" collapsed="false">
      <c r="A649" s="4" t="s">
        <v>755</v>
      </c>
      <c r="B649" s="4" t="s">
        <v>952</v>
      </c>
      <c r="C649" s="4" t="s">
        <v>953</v>
      </c>
      <c r="D649" s="4" t="s">
        <v>131</v>
      </c>
      <c r="E649" s="4" t="n">
        <v>2005</v>
      </c>
      <c r="F649" s="4" t="s">
        <v>527</v>
      </c>
      <c r="G649" s="13" t="n">
        <v>4.3</v>
      </c>
      <c r="H649" s="4" t="s">
        <v>969</v>
      </c>
      <c r="I649" s="4" t="s">
        <v>970</v>
      </c>
      <c r="J649" s="4" t="n">
        <v>1336</v>
      </c>
    </row>
    <row r="650" customFormat="false" ht="15.8" hidden="false" customHeight="false" outlineLevel="0" collapsed="false">
      <c r="A650" s="4" t="s">
        <v>755</v>
      </c>
      <c r="B650" s="4" t="s">
        <v>952</v>
      </c>
      <c r="C650" s="4" t="s">
        <v>953</v>
      </c>
      <c r="D650" s="4" t="s">
        <v>91</v>
      </c>
      <c r="E650" s="4" t="n">
        <v>2014</v>
      </c>
      <c r="F650" s="4" t="s">
        <v>544</v>
      </c>
      <c r="G650" s="13" t="n">
        <v>4.32139534883721</v>
      </c>
      <c r="H650" s="4" t="s">
        <v>971</v>
      </c>
      <c r="I650" s="4" t="s">
        <v>959</v>
      </c>
      <c r="J650" s="4" t="n">
        <v>1337</v>
      </c>
    </row>
    <row r="651" customFormat="false" ht="15.8" hidden="false" customHeight="false" outlineLevel="0" collapsed="false">
      <c r="A651" s="4" t="s">
        <v>755</v>
      </c>
      <c r="B651" s="4" t="s">
        <v>952</v>
      </c>
      <c r="C651" s="4" t="s">
        <v>953</v>
      </c>
      <c r="D651" s="4" t="s">
        <v>131</v>
      </c>
      <c r="E651" s="4" t="n">
        <v>2004</v>
      </c>
      <c r="F651" s="4" t="s">
        <v>538</v>
      </c>
      <c r="G651" s="13" t="n">
        <v>4.4</v>
      </c>
      <c r="H651" s="4" t="s">
        <v>972</v>
      </c>
      <c r="I651" s="4" t="s">
        <v>955</v>
      </c>
      <c r="J651" s="4" t="n">
        <v>1338</v>
      </c>
    </row>
    <row r="652" customFormat="false" ht="15.8" hidden="false" customHeight="false" outlineLevel="0" collapsed="false">
      <c r="A652" s="4" t="s">
        <v>755</v>
      </c>
      <c r="B652" s="4" t="s">
        <v>952</v>
      </c>
      <c r="C652" s="4" t="s">
        <v>953</v>
      </c>
      <c r="D652" s="4" t="s">
        <v>103</v>
      </c>
      <c r="E652" s="4" t="n">
        <v>2007</v>
      </c>
      <c r="F652" s="4" t="s">
        <v>538</v>
      </c>
      <c r="G652" s="13" t="n">
        <v>4.44</v>
      </c>
      <c r="H652" s="4" t="s">
        <v>367</v>
      </c>
      <c r="I652" s="4" t="s">
        <v>956</v>
      </c>
      <c r="J652" s="4" t="n">
        <v>1339</v>
      </c>
    </row>
    <row r="653" customFormat="false" ht="15.8" hidden="false" customHeight="false" outlineLevel="0" collapsed="false">
      <c r="A653" s="4" t="s">
        <v>755</v>
      </c>
      <c r="B653" s="4" t="s">
        <v>952</v>
      </c>
      <c r="C653" s="4" t="s">
        <v>953</v>
      </c>
      <c r="D653" s="4" t="s">
        <v>103</v>
      </c>
      <c r="E653" s="4" t="n">
        <v>2008</v>
      </c>
      <c r="F653" s="4" t="s">
        <v>538</v>
      </c>
      <c r="G653" s="13" t="n">
        <v>4.44444444444445</v>
      </c>
      <c r="I653" s="4" t="s">
        <v>617</v>
      </c>
      <c r="J653" s="4" t="n">
        <v>1340</v>
      </c>
    </row>
    <row r="654" customFormat="false" ht="15.8" hidden="false" customHeight="false" outlineLevel="0" collapsed="false">
      <c r="A654" s="4" t="s">
        <v>755</v>
      </c>
      <c r="B654" s="4" t="s">
        <v>952</v>
      </c>
      <c r="C654" s="4" t="s">
        <v>953</v>
      </c>
      <c r="D654" s="4" t="s">
        <v>133</v>
      </c>
      <c r="E654" s="4" t="n">
        <v>2009</v>
      </c>
      <c r="F654" s="4" t="s">
        <v>538</v>
      </c>
      <c r="G654" s="13" t="n">
        <v>4.45</v>
      </c>
      <c r="I654" s="4" t="s">
        <v>612</v>
      </c>
      <c r="J654" s="4" t="n">
        <v>1341</v>
      </c>
    </row>
    <row r="655" customFormat="false" ht="15.8" hidden="false" customHeight="false" outlineLevel="0" collapsed="false">
      <c r="A655" s="4" t="s">
        <v>755</v>
      </c>
      <c r="B655" s="4" t="s">
        <v>952</v>
      </c>
      <c r="C655" s="4" t="s">
        <v>953</v>
      </c>
      <c r="D655" s="4" t="s">
        <v>103</v>
      </c>
      <c r="E655" s="4" t="n">
        <v>2008</v>
      </c>
      <c r="F655" s="4" t="s">
        <v>538</v>
      </c>
      <c r="G655" s="13" t="n">
        <v>4.5</v>
      </c>
      <c r="I655" s="4" t="s">
        <v>617</v>
      </c>
      <c r="J655" s="4" t="n">
        <v>1342</v>
      </c>
    </row>
    <row r="656" customFormat="false" ht="15.8" hidden="false" customHeight="false" outlineLevel="0" collapsed="false">
      <c r="A656" s="4" t="s">
        <v>755</v>
      </c>
      <c r="B656" s="4" t="s">
        <v>952</v>
      </c>
      <c r="C656" s="4" t="s">
        <v>953</v>
      </c>
      <c r="D656" s="4" t="s">
        <v>119</v>
      </c>
      <c r="E656" s="4" t="n">
        <v>2011</v>
      </c>
      <c r="F656" s="4" t="s">
        <v>527</v>
      </c>
      <c r="G656" s="13" t="n">
        <v>4.5</v>
      </c>
      <c r="I656" s="4" t="s">
        <v>598</v>
      </c>
      <c r="J656" s="4" t="n">
        <v>1343</v>
      </c>
    </row>
    <row r="657" customFormat="false" ht="15.8" hidden="false" customHeight="false" outlineLevel="0" collapsed="false">
      <c r="A657" s="4" t="s">
        <v>755</v>
      </c>
      <c r="B657" s="4" t="s">
        <v>952</v>
      </c>
      <c r="C657" s="4" t="s">
        <v>953</v>
      </c>
      <c r="D657" s="4" t="s">
        <v>128</v>
      </c>
      <c r="E657" s="4" t="n">
        <v>2011</v>
      </c>
      <c r="F657" s="4" t="s">
        <v>527</v>
      </c>
      <c r="G657" s="13" t="n">
        <v>4.5</v>
      </c>
      <c r="I657" s="4" t="s">
        <v>598</v>
      </c>
      <c r="J657" s="4" t="n">
        <v>1344</v>
      </c>
    </row>
    <row r="658" customFormat="false" ht="15.8" hidden="false" customHeight="false" outlineLevel="0" collapsed="false">
      <c r="A658" s="4" t="s">
        <v>755</v>
      </c>
      <c r="B658" s="4" t="s">
        <v>952</v>
      </c>
      <c r="C658" s="4" t="s">
        <v>953</v>
      </c>
      <c r="D658" s="4" t="s">
        <v>133</v>
      </c>
      <c r="E658" s="4" t="n">
        <v>2007</v>
      </c>
      <c r="F658" s="4" t="s">
        <v>538</v>
      </c>
      <c r="G658" s="13" t="n">
        <v>4.54</v>
      </c>
      <c r="H658" s="4" t="s">
        <v>547</v>
      </c>
      <c r="I658" s="4" t="s">
        <v>956</v>
      </c>
      <c r="J658" s="4" t="n">
        <v>1345</v>
      </c>
    </row>
    <row r="659" customFormat="false" ht="15.8" hidden="false" customHeight="false" outlineLevel="0" collapsed="false">
      <c r="A659" s="4" t="s">
        <v>755</v>
      </c>
      <c r="B659" s="4" t="s">
        <v>952</v>
      </c>
      <c r="C659" s="4" t="s">
        <v>953</v>
      </c>
      <c r="D659" s="4" t="s">
        <v>684</v>
      </c>
      <c r="E659" s="4" t="n">
        <v>2009</v>
      </c>
      <c r="F659" s="4" t="s">
        <v>538</v>
      </c>
      <c r="G659" s="13" t="n">
        <v>4.58</v>
      </c>
      <c r="I659" s="4" t="s">
        <v>612</v>
      </c>
      <c r="J659" s="4" t="n">
        <v>1346</v>
      </c>
    </row>
    <row r="660" customFormat="false" ht="15.8" hidden="false" customHeight="false" outlineLevel="0" collapsed="false">
      <c r="A660" s="4" t="s">
        <v>755</v>
      </c>
      <c r="B660" s="4" t="s">
        <v>952</v>
      </c>
      <c r="C660" s="4" t="s">
        <v>953</v>
      </c>
      <c r="D660" s="4" t="s">
        <v>91</v>
      </c>
      <c r="E660" s="4" t="n">
        <v>2014</v>
      </c>
      <c r="F660" s="4" t="s">
        <v>544</v>
      </c>
      <c r="G660" s="13" t="n">
        <v>4.67023255813953</v>
      </c>
      <c r="H660" s="4" t="s">
        <v>973</v>
      </c>
      <c r="I660" s="4" t="s">
        <v>959</v>
      </c>
      <c r="J660" s="4" t="n">
        <v>1347</v>
      </c>
    </row>
    <row r="661" customFormat="false" ht="15.8" hidden="false" customHeight="false" outlineLevel="0" collapsed="false">
      <c r="A661" s="4" t="s">
        <v>755</v>
      </c>
      <c r="B661" s="4" t="s">
        <v>952</v>
      </c>
      <c r="C661" s="4" t="s">
        <v>953</v>
      </c>
      <c r="D661" s="4" t="s">
        <v>103</v>
      </c>
      <c r="E661" s="4" t="n">
        <v>2011</v>
      </c>
      <c r="F661" s="4" t="s">
        <v>527</v>
      </c>
      <c r="G661" s="13" t="n">
        <v>4.8</v>
      </c>
      <c r="I661" s="4" t="s">
        <v>865</v>
      </c>
      <c r="J661" s="4" t="n">
        <v>1348</v>
      </c>
    </row>
    <row r="662" customFormat="false" ht="15.8" hidden="false" customHeight="false" outlineLevel="0" collapsed="false">
      <c r="A662" s="4" t="s">
        <v>755</v>
      </c>
      <c r="B662" s="4" t="s">
        <v>952</v>
      </c>
      <c r="C662" s="4" t="s">
        <v>953</v>
      </c>
      <c r="D662" s="4" t="s">
        <v>131</v>
      </c>
      <c r="E662" s="4" t="n">
        <v>2005</v>
      </c>
      <c r="F662" s="4" t="s">
        <v>527</v>
      </c>
      <c r="G662" s="13" t="n">
        <v>4.8</v>
      </c>
      <c r="H662" s="4" t="s">
        <v>916</v>
      </c>
      <c r="I662" s="4" t="s">
        <v>970</v>
      </c>
      <c r="J662" s="4" t="n">
        <v>1349</v>
      </c>
    </row>
    <row r="663" customFormat="false" ht="15.8" hidden="false" customHeight="false" outlineLevel="0" collapsed="false">
      <c r="A663" s="4" t="s">
        <v>755</v>
      </c>
      <c r="B663" s="4" t="s">
        <v>952</v>
      </c>
      <c r="C663" s="4" t="s">
        <v>953</v>
      </c>
      <c r="D663" s="4" t="s">
        <v>848</v>
      </c>
      <c r="E663" s="4" t="n">
        <v>2014</v>
      </c>
      <c r="F663" s="4" t="s">
        <v>544</v>
      </c>
      <c r="G663" s="13" t="n">
        <v>4.88576271186441</v>
      </c>
      <c r="I663" s="4" t="s">
        <v>974</v>
      </c>
      <c r="J663" s="4" t="n">
        <v>1350</v>
      </c>
    </row>
    <row r="664" customFormat="false" ht="15.8" hidden="false" customHeight="false" outlineLevel="0" collapsed="false">
      <c r="A664" s="4" t="s">
        <v>755</v>
      </c>
      <c r="B664" s="4" t="s">
        <v>952</v>
      </c>
      <c r="C664" s="4" t="s">
        <v>953</v>
      </c>
      <c r="D664" s="4" t="s">
        <v>101</v>
      </c>
      <c r="E664" s="4" t="n">
        <v>2011</v>
      </c>
      <c r="F664" s="4" t="s">
        <v>527</v>
      </c>
      <c r="G664" s="13" t="n">
        <v>4.88576271186441</v>
      </c>
      <c r="H664" s="4" t="s">
        <v>975</v>
      </c>
      <c r="I664" s="4" t="s">
        <v>976</v>
      </c>
      <c r="J664" s="4" t="n">
        <v>1351</v>
      </c>
    </row>
    <row r="665" customFormat="false" ht="15.8" hidden="false" customHeight="false" outlineLevel="0" collapsed="false">
      <c r="A665" s="4" t="s">
        <v>755</v>
      </c>
      <c r="B665" s="4" t="s">
        <v>952</v>
      </c>
      <c r="C665" s="4" t="s">
        <v>953</v>
      </c>
      <c r="D665" s="4" t="s">
        <v>107</v>
      </c>
      <c r="E665" s="4" t="n">
        <v>2011</v>
      </c>
      <c r="F665" s="4" t="s">
        <v>527</v>
      </c>
      <c r="G665" s="13" t="n">
        <v>5</v>
      </c>
      <c r="H665" s="4" t="s">
        <v>597</v>
      </c>
      <c r="I665" s="4" t="s">
        <v>598</v>
      </c>
      <c r="J665" s="4" t="n">
        <v>1352</v>
      </c>
    </row>
    <row r="666" customFormat="false" ht="15.8" hidden="false" customHeight="false" outlineLevel="0" collapsed="false">
      <c r="A666" s="4" t="s">
        <v>755</v>
      </c>
      <c r="B666" s="4" t="s">
        <v>952</v>
      </c>
      <c r="C666" s="4" t="s">
        <v>953</v>
      </c>
      <c r="D666" s="4" t="s">
        <v>753</v>
      </c>
      <c r="E666" s="4" t="n">
        <v>2008</v>
      </c>
      <c r="F666" s="4" t="s">
        <v>527</v>
      </c>
      <c r="G666" s="13" t="n">
        <v>5.05</v>
      </c>
      <c r="I666" s="4" t="s">
        <v>754</v>
      </c>
      <c r="J666" s="4" t="n">
        <v>1353</v>
      </c>
    </row>
    <row r="667" customFormat="false" ht="15.8" hidden="false" customHeight="false" outlineLevel="0" collapsed="false">
      <c r="A667" s="4" t="s">
        <v>755</v>
      </c>
      <c r="B667" s="4" t="s">
        <v>952</v>
      </c>
      <c r="C667" s="4" t="s">
        <v>953</v>
      </c>
      <c r="D667" s="4" t="s">
        <v>977</v>
      </c>
      <c r="E667" s="4" t="n">
        <v>2014</v>
      </c>
      <c r="F667" s="4" t="s">
        <v>544</v>
      </c>
      <c r="G667" s="13" t="n">
        <v>5.05525423728814</v>
      </c>
      <c r="I667" s="4" t="s">
        <v>974</v>
      </c>
      <c r="J667" s="4" t="n">
        <v>1354</v>
      </c>
    </row>
    <row r="668" customFormat="false" ht="15.8" hidden="false" customHeight="false" outlineLevel="0" collapsed="false">
      <c r="A668" s="4" t="s">
        <v>755</v>
      </c>
      <c r="B668" s="4" t="s">
        <v>952</v>
      </c>
      <c r="C668" s="4" t="s">
        <v>953</v>
      </c>
      <c r="D668" s="4" t="s">
        <v>91</v>
      </c>
      <c r="E668" s="4" t="n">
        <v>2014</v>
      </c>
      <c r="F668" s="4" t="s">
        <v>544</v>
      </c>
      <c r="G668" s="13" t="n">
        <v>5.06558139534884</v>
      </c>
      <c r="H668" s="4" t="s">
        <v>978</v>
      </c>
      <c r="I668" s="4" t="s">
        <v>979</v>
      </c>
      <c r="J668" s="4" t="n">
        <v>1355</v>
      </c>
    </row>
    <row r="669" customFormat="false" ht="15.8" hidden="false" customHeight="false" outlineLevel="0" collapsed="false">
      <c r="A669" s="4" t="s">
        <v>755</v>
      </c>
      <c r="B669" s="4" t="s">
        <v>952</v>
      </c>
      <c r="C669" s="4" t="s">
        <v>953</v>
      </c>
      <c r="D669" s="4" t="s">
        <v>91</v>
      </c>
      <c r="E669" s="4" t="n">
        <v>2005</v>
      </c>
      <c r="F669" s="4" t="s">
        <v>527</v>
      </c>
      <c r="G669" s="13" t="n">
        <v>5.1</v>
      </c>
      <c r="H669" s="52" t="s">
        <v>980</v>
      </c>
      <c r="I669" s="4" t="s">
        <v>981</v>
      </c>
      <c r="J669" s="4" t="n">
        <v>1356</v>
      </c>
    </row>
    <row r="670" customFormat="false" ht="15.8" hidden="false" customHeight="false" outlineLevel="0" collapsed="false">
      <c r="A670" s="4" t="s">
        <v>755</v>
      </c>
      <c r="B670" s="4" t="s">
        <v>952</v>
      </c>
      <c r="C670" s="4" t="s">
        <v>953</v>
      </c>
      <c r="D670" s="4" t="s">
        <v>102</v>
      </c>
      <c r="E670" s="4" t="n">
        <v>2011</v>
      </c>
      <c r="F670" s="4" t="s">
        <v>527</v>
      </c>
      <c r="G670" s="13" t="n">
        <v>5.1</v>
      </c>
      <c r="I670" s="4" t="s">
        <v>598</v>
      </c>
      <c r="J670" s="4" t="n">
        <v>1357</v>
      </c>
    </row>
    <row r="671" customFormat="false" ht="15.8" hidden="false" customHeight="false" outlineLevel="0" collapsed="false">
      <c r="A671" s="4" t="s">
        <v>755</v>
      </c>
      <c r="B671" s="4" t="s">
        <v>952</v>
      </c>
      <c r="C671" s="4" t="s">
        <v>953</v>
      </c>
      <c r="D671" s="4" t="s">
        <v>91</v>
      </c>
      <c r="E671" s="4" t="n">
        <v>2014</v>
      </c>
      <c r="F671" s="4" t="s">
        <v>544</v>
      </c>
      <c r="G671" s="13" t="n">
        <v>5.11209302325581</v>
      </c>
      <c r="H671" s="4" t="s">
        <v>982</v>
      </c>
      <c r="I671" s="4" t="s">
        <v>959</v>
      </c>
      <c r="J671" s="4" t="n">
        <v>1358</v>
      </c>
    </row>
    <row r="672" customFormat="false" ht="15.8" hidden="false" customHeight="false" outlineLevel="0" collapsed="false">
      <c r="A672" s="4" t="s">
        <v>755</v>
      </c>
      <c r="B672" s="4" t="s">
        <v>952</v>
      </c>
      <c r="C672" s="4" t="s">
        <v>953</v>
      </c>
      <c r="D672" s="4" t="s">
        <v>95</v>
      </c>
      <c r="E672" s="4" t="n">
        <v>2007</v>
      </c>
      <c r="F672" s="4" t="s">
        <v>538</v>
      </c>
      <c r="G672" s="13" t="n">
        <v>5.14</v>
      </c>
      <c r="I672" s="4" t="s">
        <v>956</v>
      </c>
      <c r="J672" s="4" t="n">
        <v>1359</v>
      </c>
    </row>
    <row r="673" customFormat="false" ht="15.8" hidden="false" customHeight="false" outlineLevel="0" collapsed="false">
      <c r="A673" s="4" t="s">
        <v>755</v>
      </c>
      <c r="B673" s="4" t="s">
        <v>952</v>
      </c>
      <c r="C673" s="4" t="s">
        <v>953</v>
      </c>
      <c r="D673" s="4" t="s">
        <v>91</v>
      </c>
      <c r="E673" s="4" t="n">
        <v>2014</v>
      </c>
      <c r="F673" s="4" t="s">
        <v>544</v>
      </c>
      <c r="G673" s="13" t="n">
        <v>5.15860465116279</v>
      </c>
      <c r="H673" s="4" t="s">
        <v>983</v>
      </c>
      <c r="I673" s="4" t="s">
        <v>979</v>
      </c>
      <c r="J673" s="4" t="n">
        <v>1360</v>
      </c>
    </row>
    <row r="674" customFormat="false" ht="15.8" hidden="false" customHeight="false" outlineLevel="0" collapsed="false">
      <c r="A674" s="4" t="s">
        <v>755</v>
      </c>
      <c r="B674" s="4" t="s">
        <v>952</v>
      </c>
      <c r="C674" s="4" t="s">
        <v>953</v>
      </c>
      <c r="D674" s="4" t="s">
        <v>131</v>
      </c>
      <c r="E674" s="4" t="n">
        <v>2009</v>
      </c>
      <c r="F674" s="4" t="s">
        <v>538</v>
      </c>
      <c r="G674" s="13" t="n">
        <v>5.2</v>
      </c>
      <c r="I674" s="4" t="s">
        <v>840</v>
      </c>
      <c r="J674" s="4" t="n">
        <v>1361</v>
      </c>
    </row>
    <row r="675" customFormat="false" ht="15.8" hidden="false" customHeight="false" outlineLevel="0" collapsed="false">
      <c r="A675" s="4" t="s">
        <v>755</v>
      </c>
      <c r="B675" s="4" t="s">
        <v>952</v>
      </c>
      <c r="C675" s="4" t="s">
        <v>953</v>
      </c>
      <c r="D675" s="4" t="s">
        <v>153</v>
      </c>
      <c r="E675" s="4" t="n">
        <v>2010</v>
      </c>
      <c r="F675" s="4" t="s">
        <v>538</v>
      </c>
      <c r="G675" s="13" t="n">
        <v>5.25423728813559</v>
      </c>
      <c r="H675" s="4" t="s">
        <v>984</v>
      </c>
      <c r="I675" s="4" t="s">
        <v>962</v>
      </c>
      <c r="J675" s="4" t="n">
        <v>1362</v>
      </c>
    </row>
    <row r="676" customFormat="false" ht="15.8" hidden="false" customHeight="false" outlineLevel="0" collapsed="false">
      <c r="A676" s="4" t="s">
        <v>755</v>
      </c>
      <c r="B676" s="4" t="s">
        <v>952</v>
      </c>
      <c r="C676" s="4" t="s">
        <v>953</v>
      </c>
      <c r="D676" s="4" t="s">
        <v>95</v>
      </c>
      <c r="E676" s="4" t="n">
        <v>2011</v>
      </c>
      <c r="F676" s="4" t="s">
        <v>527</v>
      </c>
      <c r="G676" s="13" t="n">
        <v>5.35</v>
      </c>
      <c r="I676" s="4" t="s">
        <v>598</v>
      </c>
      <c r="J676" s="4" t="n">
        <v>1363</v>
      </c>
    </row>
    <row r="677" customFormat="false" ht="15.8" hidden="false" customHeight="false" outlineLevel="0" collapsed="false">
      <c r="A677" s="4" t="s">
        <v>755</v>
      </c>
      <c r="B677" s="4" t="s">
        <v>952</v>
      </c>
      <c r="C677" s="4" t="s">
        <v>953</v>
      </c>
      <c r="D677" s="4" t="s">
        <v>789</v>
      </c>
      <c r="E677" s="4" t="n">
        <v>2012</v>
      </c>
      <c r="F677" s="4" t="s">
        <v>544</v>
      </c>
      <c r="G677" s="13" t="n">
        <v>5.37255813953488</v>
      </c>
      <c r="H677" s="4" t="s">
        <v>770</v>
      </c>
      <c r="I677" s="4" t="s">
        <v>985</v>
      </c>
      <c r="J677" s="4" t="n">
        <v>1364</v>
      </c>
    </row>
    <row r="678" customFormat="false" ht="15.8" hidden="false" customHeight="false" outlineLevel="0" collapsed="false">
      <c r="A678" s="4" t="s">
        <v>755</v>
      </c>
      <c r="B678" s="4" t="s">
        <v>952</v>
      </c>
      <c r="C678" s="4" t="s">
        <v>953</v>
      </c>
      <c r="D678" s="4" t="s">
        <v>101</v>
      </c>
      <c r="E678" s="4" t="n">
        <v>2011</v>
      </c>
      <c r="F678" s="4" t="s">
        <v>527</v>
      </c>
      <c r="G678" s="13" t="n">
        <v>5.39423728813559</v>
      </c>
      <c r="H678" s="4" t="s">
        <v>975</v>
      </c>
      <c r="I678" s="4" t="s">
        <v>976</v>
      </c>
      <c r="J678" s="4" t="n">
        <v>1365</v>
      </c>
    </row>
    <row r="679" customFormat="false" ht="15.8" hidden="false" customHeight="false" outlineLevel="0" collapsed="false">
      <c r="A679" s="4" t="s">
        <v>755</v>
      </c>
      <c r="B679" s="4" t="s">
        <v>952</v>
      </c>
      <c r="C679" s="4" t="s">
        <v>953</v>
      </c>
      <c r="D679" s="4" t="s">
        <v>101</v>
      </c>
      <c r="E679" s="4" t="n">
        <v>2011</v>
      </c>
      <c r="F679" s="4" t="s">
        <v>527</v>
      </c>
      <c r="G679" s="13" t="n">
        <v>5.39423728813559</v>
      </c>
      <c r="H679" s="4" t="s">
        <v>563</v>
      </c>
      <c r="I679" s="4" t="s">
        <v>976</v>
      </c>
      <c r="J679" s="4" t="n">
        <v>1366</v>
      </c>
    </row>
    <row r="680" customFormat="false" ht="15.8" hidden="false" customHeight="false" outlineLevel="0" collapsed="false">
      <c r="A680" s="4" t="s">
        <v>755</v>
      </c>
      <c r="B680" s="4" t="s">
        <v>952</v>
      </c>
      <c r="C680" s="4" t="s">
        <v>953</v>
      </c>
      <c r="D680" s="4" t="s">
        <v>896</v>
      </c>
      <c r="E680" s="4" t="n">
        <v>2014</v>
      </c>
      <c r="F680" s="4" t="s">
        <v>527</v>
      </c>
      <c r="G680" s="13" t="n">
        <v>5.5</v>
      </c>
      <c r="I680" s="4" t="s">
        <v>777</v>
      </c>
      <c r="J680" s="4" t="n">
        <v>1367</v>
      </c>
    </row>
    <row r="681" customFormat="false" ht="15.8" hidden="false" customHeight="false" outlineLevel="0" collapsed="false">
      <c r="A681" s="4" t="s">
        <v>755</v>
      </c>
      <c r="B681" s="4" t="s">
        <v>952</v>
      </c>
      <c r="C681" s="4" t="s">
        <v>953</v>
      </c>
      <c r="D681" s="4" t="s">
        <v>131</v>
      </c>
      <c r="E681" s="4" t="n">
        <v>2014</v>
      </c>
      <c r="F681" s="4" t="s">
        <v>527</v>
      </c>
      <c r="G681" s="13" t="n">
        <v>5.5</v>
      </c>
      <c r="H681" s="4" t="s">
        <v>986</v>
      </c>
      <c r="I681" s="4" t="s">
        <v>777</v>
      </c>
      <c r="J681" s="4" t="n">
        <v>1368</v>
      </c>
    </row>
    <row r="682" customFormat="false" ht="15.8" hidden="false" customHeight="false" outlineLevel="0" collapsed="false">
      <c r="A682" s="4" t="s">
        <v>755</v>
      </c>
      <c r="B682" s="4" t="s">
        <v>952</v>
      </c>
      <c r="C682" s="4" t="s">
        <v>953</v>
      </c>
      <c r="D682" s="4" t="s">
        <v>153</v>
      </c>
      <c r="E682" s="4" t="n">
        <v>2014</v>
      </c>
      <c r="F682" s="4" t="s">
        <v>544</v>
      </c>
      <c r="G682" s="13" t="n">
        <v>5.55</v>
      </c>
      <c r="H682" s="4" t="s">
        <v>762</v>
      </c>
      <c r="I682" s="4" t="s">
        <v>763</v>
      </c>
      <c r="J682" s="4" t="n">
        <v>1369</v>
      </c>
    </row>
    <row r="683" customFormat="false" ht="15.8" hidden="false" customHeight="false" outlineLevel="0" collapsed="false">
      <c r="A683" s="4" t="s">
        <v>755</v>
      </c>
      <c r="B683" s="4" t="s">
        <v>952</v>
      </c>
      <c r="C683" s="4" t="s">
        <v>953</v>
      </c>
      <c r="D683" s="4" t="s">
        <v>95</v>
      </c>
      <c r="E683" s="4" t="n">
        <v>2012</v>
      </c>
      <c r="F683" s="4" t="s">
        <v>527</v>
      </c>
      <c r="G683" s="13" t="n">
        <v>5.59762711864407</v>
      </c>
      <c r="I683" s="4" t="s">
        <v>987</v>
      </c>
      <c r="J683" s="4" t="n">
        <v>1370</v>
      </c>
    </row>
    <row r="684" customFormat="false" ht="15.8" hidden="false" customHeight="false" outlineLevel="0" collapsed="false">
      <c r="A684" s="4" t="s">
        <v>755</v>
      </c>
      <c r="B684" s="4" t="s">
        <v>952</v>
      </c>
      <c r="C684" s="4" t="s">
        <v>953</v>
      </c>
      <c r="D684" s="4" t="s">
        <v>133</v>
      </c>
      <c r="E684" s="4" t="n">
        <v>2006</v>
      </c>
      <c r="F684" s="4" t="s">
        <v>538</v>
      </c>
      <c r="G684" s="13" t="n">
        <v>5.6</v>
      </c>
      <c r="H684" s="4" t="s">
        <v>547</v>
      </c>
      <c r="I684" s="4" t="s">
        <v>572</v>
      </c>
      <c r="J684" s="4" t="n">
        <v>1371</v>
      </c>
    </row>
    <row r="685" customFormat="false" ht="15.8" hidden="false" customHeight="false" outlineLevel="0" collapsed="false">
      <c r="A685" s="4" t="s">
        <v>755</v>
      </c>
      <c r="B685" s="4" t="s">
        <v>952</v>
      </c>
      <c r="C685" s="4" t="s">
        <v>953</v>
      </c>
      <c r="D685" s="4" t="s">
        <v>91</v>
      </c>
      <c r="E685" s="4" t="n">
        <v>2014</v>
      </c>
      <c r="F685" s="4" t="s">
        <v>544</v>
      </c>
      <c r="G685" s="13" t="n">
        <v>5.68845360824742</v>
      </c>
      <c r="H685" s="4" t="s">
        <v>988</v>
      </c>
      <c r="I685" s="4" t="s">
        <v>546</v>
      </c>
      <c r="J685" s="4" t="n">
        <v>1372</v>
      </c>
    </row>
    <row r="686" customFormat="false" ht="15.8" hidden="false" customHeight="false" outlineLevel="0" collapsed="false">
      <c r="A686" s="4" t="s">
        <v>755</v>
      </c>
      <c r="B686" s="4" t="s">
        <v>952</v>
      </c>
      <c r="C686" s="4" t="s">
        <v>953</v>
      </c>
      <c r="D686" s="4" t="s">
        <v>91</v>
      </c>
      <c r="E686" s="4" t="n">
        <v>2014</v>
      </c>
      <c r="F686" s="4" t="s">
        <v>544</v>
      </c>
      <c r="G686" s="13" t="n">
        <v>5.71674418604651</v>
      </c>
      <c r="H686" s="4" t="s">
        <v>989</v>
      </c>
      <c r="I686" s="4" t="s">
        <v>959</v>
      </c>
      <c r="J686" s="4" t="n">
        <v>1373</v>
      </c>
    </row>
    <row r="687" customFormat="false" ht="15.8" hidden="false" customHeight="false" outlineLevel="0" collapsed="false">
      <c r="A687" s="4" t="s">
        <v>755</v>
      </c>
      <c r="B687" s="4" t="s">
        <v>952</v>
      </c>
      <c r="C687" s="4" t="s">
        <v>953</v>
      </c>
      <c r="D687" s="4" t="s">
        <v>789</v>
      </c>
      <c r="E687" s="4" t="n">
        <v>2012</v>
      </c>
      <c r="F687" s="4" t="s">
        <v>544</v>
      </c>
      <c r="G687" s="13" t="n">
        <v>5.72139534883721</v>
      </c>
      <c r="H687" s="4" t="s">
        <v>367</v>
      </c>
      <c r="I687" s="4" t="s">
        <v>985</v>
      </c>
      <c r="J687" s="4" t="n">
        <v>1374</v>
      </c>
    </row>
    <row r="688" customFormat="false" ht="15.8" hidden="false" customHeight="false" outlineLevel="0" collapsed="false">
      <c r="A688" s="4" t="s">
        <v>755</v>
      </c>
      <c r="B688" s="4" t="s">
        <v>952</v>
      </c>
      <c r="C688" s="4" t="s">
        <v>953</v>
      </c>
      <c r="D688" s="4" t="s">
        <v>91</v>
      </c>
      <c r="E688" s="4" t="n">
        <v>2014</v>
      </c>
      <c r="F688" s="4" t="s">
        <v>544</v>
      </c>
      <c r="G688" s="13" t="n">
        <v>5.74</v>
      </c>
      <c r="H688" s="4" t="s">
        <v>990</v>
      </c>
      <c r="I688" s="4" t="s">
        <v>546</v>
      </c>
      <c r="J688" s="4" t="n">
        <v>1375</v>
      </c>
    </row>
    <row r="689" customFormat="false" ht="15.8" hidden="false" customHeight="false" outlineLevel="0" collapsed="false">
      <c r="A689" s="4" t="s">
        <v>755</v>
      </c>
      <c r="B689" s="4" t="s">
        <v>952</v>
      </c>
      <c r="C689" s="4" t="s">
        <v>953</v>
      </c>
      <c r="D689" s="4" t="s">
        <v>118</v>
      </c>
      <c r="E689" s="4" t="n">
        <v>2011</v>
      </c>
      <c r="F689" s="4" t="s">
        <v>527</v>
      </c>
      <c r="G689" s="13" t="n">
        <v>5.8</v>
      </c>
      <c r="I689" s="4" t="s">
        <v>598</v>
      </c>
      <c r="J689" s="4" t="n">
        <v>1376</v>
      </c>
    </row>
    <row r="690" customFormat="false" ht="15.8" hidden="false" customHeight="false" outlineLevel="0" collapsed="false">
      <c r="A690" s="4" t="s">
        <v>755</v>
      </c>
      <c r="B690" s="4" t="s">
        <v>952</v>
      </c>
      <c r="C690" s="4" t="s">
        <v>953</v>
      </c>
      <c r="D690" s="4" t="s">
        <v>991</v>
      </c>
      <c r="E690" s="4" t="n">
        <v>2010</v>
      </c>
      <c r="F690" s="4" t="s">
        <v>527</v>
      </c>
      <c r="G690" s="13" t="n">
        <v>5.86093023255814</v>
      </c>
      <c r="H690" s="4" t="s">
        <v>992</v>
      </c>
      <c r="I690" s="4" t="s">
        <v>993</v>
      </c>
      <c r="J690" s="4" t="n">
        <v>1377</v>
      </c>
    </row>
    <row r="691" customFormat="false" ht="15.8" hidden="false" customHeight="false" outlineLevel="0" collapsed="false">
      <c r="A691" s="4" t="s">
        <v>755</v>
      </c>
      <c r="B691" s="4" t="s">
        <v>952</v>
      </c>
      <c r="C691" s="4" t="s">
        <v>953</v>
      </c>
      <c r="D691" s="4" t="s">
        <v>91</v>
      </c>
      <c r="E691" s="4" t="n">
        <v>2014</v>
      </c>
      <c r="F691" s="4" t="s">
        <v>544</v>
      </c>
      <c r="G691" s="13" t="n">
        <v>5.89463917525773</v>
      </c>
      <c r="H691" s="4" t="s">
        <v>994</v>
      </c>
      <c r="I691" s="4" t="s">
        <v>546</v>
      </c>
      <c r="J691" s="4" t="n">
        <v>1378</v>
      </c>
    </row>
    <row r="692" customFormat="false" ht="15.8" hidden="false" customHeight="false" outlineLevel="0" collapsed="false">
      <c r="A692" s="4" t="s">
        <v>755</v>
      </c>
      <c r="B692" s="4" t="s">
        <v>952</v>
      </c>
      <c r="C692" s="4" t="s">
        <v>953</v>
      </c>
      <c r="D692" s="4" t="s">
        <v>101</v>
      </c>
      <c r="E692" s="4" t="n">
        <v>2011</v>
      </c>
      <c r="F692" s="4" t="s">
        <v>527</v>
      </c>
      <c r="G692" s="13" t="n">
        <v>5.90271186440678</v>
      </c>
      <c r="H692" s="4" t="s">
        <v>563</v>
      </c>
      <c r="I692" s="4" t="s">
        <v>976</v>
      </c>
      <c r="J692" s="4" t="n">
        <v>1379</v>
      </c>
    </row>
    <row r="693" customFormat="false" ht="15.8" hidden="false" customHeight="false" outlineLevel="0" collapsed="false">
      <c r="A693" s="4" t="s">
        <v>755</v>
      </c>
      <c r="B693" s="4" t="s">
        <v>952</v>
      </c>
      <c r="C693" s="4" t="s">
        <v>953</v>
      </c>
      <c r="D693" s="4" t="s">
        <v>965</v>
      </c>
      <c r="E693" s="4" t="n">
        <v>2014</v>
      </c>
      <c r="F693" s="4" t="s">
        <v>544</v>
      </c>
      <c r="G693" s="13" t="n">
        <v>5.97255813953488</v>
      </c>
      <c r="H693" s="4" t="s">
        <v>983</v>
      </c>
      <c r="I693" s="4" t="s">
        <v>967</v>
      </c>
      <c r="J693" s="4" t="n">
        <v>1380</v>
      </c>
    </row>
    <row r="694" customFormat="false" ht="15.8" hidden="false" customHeight="false" outlineLevel="0" collapsed="false">
      <c r="A694" s="4" t="s">
        <v>755</v>
      </c>
      <c r="B694" s="4" t="s">
        <v>952</v>
      </c>
      <c r="C694" s="4" t="s">
        <v>953</v>
      </c>
      <c r="D694" s="4" t="s">
        <v>102</v>
      </c>
      <c r="E694" s="4" t="n">
        <v>2012</v>
      </c>
      <c r="F694" s="4" t="s">
        <v>544</v>
      </c>
      <c r="G694" s="13" t="n">
        <v>5.97255813953488</v>
      </c>
      <c r="I694" s="4" t="s">
        <v>995</v>
      </c>
      <c r="J694" s="4" t="n">
        <v>1381</v>
      </c>
    </row>
    <row r="695" customFormat="false" ht="15.8" hidden="false" customHeight="false" outlineLevel="0" collapsed="false">
      <c r="A695" s="4" t="s">
        <v>755</v>
      </c>
      <c r="B695" s="4" t="s">
        <v>952</v>
      </c>
      <c r="C695" s="4" t="s">
        <v>953</v>
      </c>
      <c r="D695" s="4" t="s">
        <v>991</v>
      </c>
      <c r="E695" s="4" t="n">
        <v>2010</v>
      </c>
      <c r="F695" s="4" t="s">
        <v>527</v>
      </c>
      <c r="G695" s="13" t="n">
        <v>6.00046511627907</v>
      </c>
      <c r="H695" s="4" t="s">
        <v>996</v>
      </c>
      <c r="I695" s="4" t="s">
        <v>993</v>
      </c>
      <c r="J695" s="4" t="n">
        <v>1382</v>
      </c>
    </row>
    <row r="696" customFormat="false" ht="15.8" hidden="false" customHeight="false" outlineLevel="0" collapsed="false">
      <c r="A696" s="4" t="s">
        <v>755</v>
      </c>
      <c r="B696" s="4" t="s">
        <v>952</v>
      </c>
      <c r="C696" s="4" t="s">
        <v>953</v>
      </c>
      <c r="D696" s="4" t="s">
        <v>892</v>
      </c>
      <c r="E696" s="4" t="n">
        <v>2015</v>
      </c>
      <c r="F696" s="4" t="s">
        <v>527</v>
      </c>
      <c r="G696" s="13" t="n">
        <v>6.07220338983051</v>
      </c>
      <c r="I696" s="4" t="s">
        <v>997</v>
      </c>
      <c r="J696" s="4" t="n">
        <v>1383</v>
      </c>
    </row>
    <row r="697" customFormat="false" ht="15.8" hidden="false" customHeight="false" outlineLevel="0" collapsed="false">
      <c r="A697" s="4" t="s">
        <v>755</v>
      </c>
      <c r="B697" s="4" t="s">
        <v>952</v>
      </c>
      <c r="C697" s="4" t="s">
        <v>953</v>
      </c>
      <c r="D697" s="4" t="s">
        <v>133</v>
      </c>
      <c r="E697" s="4" t="n">
        <v>2009</v>
      </c>
      <c r="F697" s="4" t="s">
        <v>538</v>
      </c>
      <c r="G697" s="13" t="n">
        <v>6.09615384615385</v>
      </c>
      <c r="H697" s="4" t="s">
        <v>998</v>
      </c>
      <c r="I697" s="4" t="s">
        <v>999</v>
      </c>
      <c r="J697" s="4" t="n">
        <v>1384</v>
      </c>
    </row>
    <row r="698" customFormat="false" ht="15.8" hidden="false" customHeight="false" outlineLevel="0" collapsed="false">
      <c r="A698" s="4" t="s">
        <v>755</v>
      </c>
      <c r="B698" s="4" t="s">
        <v>952</v>
      </c>
      <c r="C698" s="4" t="s">
        <v>953</v>
      </c>
      <c r="D698" s="4" t="s">
        <v>112</v>
      </c>
      <c r="E698" s="4" t="n">
        <v>2011</v>
      </c>
      <c r="F698" s="4" t="s">
        <v>527</v>
      </c>
      <c r="G698" s="13" t="n">
        <v>6.1</v>
      </c>
      <c r="H698" s="4" t="s">
        <v>597</v>
      </c>
      <c r="I698" s="4" t="s">
        <v>598</v>
      </c>
      <c r="J698" s="4" t="n">
        <v>1385</v>
      </c>
    </row>
    <row r="699" customFormat="false" ht="15.8" hidden="false" customHeight="false" outlineLevel="0" collapsed="false">
      <c r="A699" s="4" t="s">
        <v>755</v>
      </c>
      <c r="B699" s="4" t="s">
        <v>952</v>
      </c>
      <c r="C699" s="4" t="s">
        <v>953</v>
      </c>
      <c r="D699" s="4" t="s">
        <v>153</v>
      </c>
      <c r="E699" s="4" t="n">
        <v>2010</v>
      </c>
      <c r="F699" s="4" t="s">
        <v>538</v>
      </c>
      <c r="G699" s="13" t="n">
        <v>6.10169491525424</v>
      </c>
      <c r="H699" s="4" t="s">
        <v>1000</v>
      </c>
      <c r="I699" s="4" t="s">
        <v>962</v>
      </c>
      <c r="J699" s="4" t="n">
        <v>1386</v>
      </c>
    </row>
    <row r="700" customFormat="false" ht="15.8" hidden="false" customHeight="false" outlineLevel="0" collapsed="false">
      <c r="A700" s="4" t="s">
        <v>755</v>
      </c>
      <c r="B700" s="4" t="s">
        <v>952</v>
      </c>
      <c r="C700" s="4" t="s">
        <v>953</v>
      </c>
      <c r="D700" s="4" t="s">
        <v>875</v>
      </c>
      <c r="E700" s="4" t="n">
        <v>2013</v>
      </c>
      <c r="F700" s="4" t="s">
        <v>538</v>
      </c>
      <c r="G700" s="13" t="n">
        <v>6.1038961038961</v>
      </c>
      <c r="I700" s="4" t="s">
        <v>779</v>
      </c>
      <c r="J700" s="4" t="n">
        <v>1387</v>
      </c>
    </row>
    <row r="701" customFormat="false" ht="15.8" hidden="false" customHeight="false" outlineLevel="0" collapsed="false">
      <c r="A701" s="4" t="s">
        <v>755</v>
      </c>
      <c r="B701" s="4" t="s">
        <v>952</v>
      </c>
      <c r="C701" s="4" t="s">
        <v>953</v>
      </c>
      <c r="D701" s="4" t="s">
        <v>133</v>
      </c>
      <c r="E701" s="4" t="n">
        <v>2009</v>
      </c>
      <c r="F701" s="4" t="s">
        <v>538</v>
      </c>
      <c r="G701" s="13" t="n">
        <v>6.11378977820637</v>
      </c>
      <c r="H701" s="4" t="s">
        <v>1001</v>
      </c>
      <c r="I701" s="4" t="s">
        <v>999</v>
      </c>
      <c r="J701" s="4" t="n">
        <v>1388</v>
      </c>
    </row>
    <row r="702" customFormat="false" ht="15.8" hidden="false" customHeight="false" outlineLevel="0" collapsed="false">
      <c r="A702" s="4" t="s">
        <v>755</v>
      </c>
      <c r="B702" s="4" t="s">
        <v>952</v>
      </c>
      <c r="C702" s="4" t="s">
        <v>953</v>
      </c>
      <c r="D702" s="4" t="s">
        <v>133</v>
      </c>
      <c r="E702" s="4" t="n">
        <v>2009</v>
      </c>
      <c r="F702" s="4" t="s">
        <v>538</v>
      </c>
      <c r="G702" s="13" t="n">
        <v>6.14341085271318</v>
      </c>
      <c r="H702" s="4" t="s">
        <v>1002</v>
      </c>
      <c r="I702" s="4" t="s">
        <v>999</v>
      </c>
      <c r="J702" s="4" t="n">
        <v>1389</v>
      </c>
    </row>
    <row r="703" customFormat="false" ht="15.8" hidden="false" customHeight="false" outlineLevel="0" collapsed="false">
      <c r="A703" s="4" t="s">
        <v>755</v>
      </c>
      <c r="B703" s="4" t="s">
        <v>952</v>
      </c>
      <c r="C703" s="4" t="s">
        <v>953</v>
      </c>
      <c r="D703" s="4" t="s">
        <v>91</v>
      </c>
      <c r="E703" s="4" t="n">
        <v>2014</v>
      </c>
      <c r="F703" s="4" t="s">
        <v>544</v>
      </c>
      <c r="G703" s="13" t="n">
        <v>6.15860465116279</v>
      </c>
      <c r="H703" s="4" t="s">
        <v>1003</v>
      </c>
      <c r="I703" s="4" t="s">
        <v>546</v>
      </c>
      <c r="J703" s="4" t="n">
        <v>1390</v>
      </c>
    </row>
    <row r="704" customFormat="false" ht="15.8" hidden="false" customHeight="false" outlineLevel="0" collapsed="false">
      <c r="A704" s="4" t="s">
        <v>755</v>
      </c>
      <c r="B704" s="4" t="s">
        <v>952</v>
      </c>
      <c r="C704" s="4" t="s">
        <v>953</v>
      </c>
      <c r="D704" s="4" t="s">
        <v>115</v>
      </c>
      <c r="E704" s="4" t="n">
        <v>2012</v>
      </c>
      <c r="F704" s="4" t="s">
        <v>544</v>
      </c>
      <c r="G704" s="13" t="n">
        <v>6.2</v>
      </c>
      <c r="H704" s="4" t="s">
        <v>1004</v>
      </c>
      <c r="I704" s="4" t="s">
        <v>692</v>
      </c>
      <c r="J704" s="4" t="n">
        <v>1391</v>
      </c>
    </row>
    <row r="705" customFormat="false" ht="15.8" hidden="false" customHeight="false" outlineLevel="0" collapsed="false">
      <c r="A705" s="4" t="s">
        <v>755</v>
      </c>
      <c r="B705" s="4" t="s">
        <v>952</v>
      </c>
      <c r="C705" s="4" t="s">
        <v>953</v>
      </c>
      <c r="D705" s="4" t="s">
        <v>91</v>
      </c>
      <c r="E705" s="4" t="n">
        <v>2014</v>
      </c>
      <c r="F705" s="4" t="s">
        <v>544</v>
      </c>
      <c r="G705" s="13" t="n">
        <v>6.2039175257732</v>
      </c>
      <c r="I705" s="4" t="s">
        <v>546</v>
      </c>
      <c r="J705" s="4" t="n">
        <v>1392</v>
      </c>
    </row>
    <row r="706" customFormat="false" ht="15.8" hidden="false" customHeight="false" outlineLevel="0" collapsed="false">
      <c r="A706" s="4" t="s">
        <v>755</v>
      </c>
      <c r="B706" s="4" t="s">
        <v>952</v>
      </c>
      <c r="C706" s="4" t="s">
        <v>953</v>
      </c>
      <c r="D706" s="4" t="s">
        <v>91</v>
      </c>
      <c r="E706" s="4" t="n">
        <v>2014</v>
      </c>
      <c r="F706" s="4" t="s">
        <v>544</v>
      </c>
      <c r="G706" s="13" t="n">
        <v>6.22837209302326</v>
      </c>
      <c r="H706" s="4" t="s">
        <v>1005</v>
      </c>
      <c r="I706" s="4" t="s">
        <v>546</v>
      </c>
      <c r="J706" s="4" t="n">
        <v>1393</v>
      </c>
    </row>
    <row r="707" customFormat="false" ht="15.8" hidden="false" customHeight="false" outlineLevel="0" collapsed="false">
      <c r="A707" s="4" t="s">
        <v>755</v>
      </c>
      <c r="B707" s="4" t="s">
        <v>952</v>
      </c>
      <c r="C707" s="4" t="s">
        <v>953</v>
      </c>
      <c r="D707" s="4" t="s">
        <v>101</v>
      </c>
      <c r="E707" s="4" t="n">
        <v>2007</v>
      </c>
      <c r="F707" s="4" t="s">
        <v>527</v>
      </c>
      <c r="G707" s="13" t="n">
        <v>6.24169491525424</v>
      </c>
      <c r="I707" s="4" t="s">
        <v>1006</v>
      </c>
      <c r="J707" s="4" t="n">
        <v>1394</v>
      </c>
    </row>
    <row r="708" customFormat="false" ht="15.8" hidden="false" customHeight="false" outlineLevel="0" collapsed="false">
      <c r="A708" s="4" t="s">
        <v>755</v>
      </c>
      <c r="B708" s="4" t="s">
        <v>952</v>
      </c>
      <c r="C708" s="4" t="s">
        <v>953</v>
      </c>
      <c r="D708" s="4" t="s">
        <v>133</v>
      </c>
      <c r="E708" s="4" t="n">
        <v>2009</v>
      </c>
      <c r="F708" s="4" t="s">
        <v>538</v>
      </c>
      <c r="G708" s="13" t="n">
        <v>6.29592850049653</v>
      </c>
      <c r="H708" s="4" t="s">
        <v>1007</v>
      </c>
      <c r="I708" s="4" t="s">
        <v>999</v>
      </c>
      <c r="J708" s="4" t="n">
        <v>1395</v>
      </c>
    </row>
    <row r="709" customFormat="false" ht="15.8" hidden="false" customHeight="false" outlineLevel="0" collapsed="false">
      <c r="A709" s="4" t="s">
        <v>755</v>
      </c>
      <c r="B709" s="4" t="s">
        <v>952</v>
      </c>
      <c r="C709" s="4" t="s">
        <v>953</v>
      </c>
      <c r="D709" s="4" t="s">
        <v>153</v>
      </c>
      <c r="E709" s="4" t="n">
        <v>2011</v>
      </c>
      <c r="F709" s="4" t="s">
        <v>544</v>
      </c>
      <c r="G709" s="13" t="n">
        <v>6.3</v>
      </c>
      <c r="I709" s="4" t="s">
        <v>817</v>
      </c>
      <c r="J709" s="4" t="n">
        <v>1396</v>
      </c>
    </row>
    <row r="710" customFormat="false" ht="15.8" hidden="false" customHeight="false" outlineLevel="0" collapsed="false">
      <c r="A710" s="4" t="s">
        <v>755</v>
      </c>
      <c r="B710" s="4" t="s">
        <v>952</v>
      </c>
      <c r="C710" s="4" t="s">
        <v>953</v>
      </c>
      <c r="D710" s="4" t="s">
        <v>91</v>
      </c>
      <c r="E710" s="4" t="n">
        <v>2014</v>
      </c>
      <c r="F710" s="4" t="s">
        <v>544</v>
      </c>
      <c r="G710" s="13" t="n">
        <v>6.32139534883721</v>
      </c>
      <c r="H710" s="4" t="s">
        <v>1008</v>
      </c>
      <c r="I710" s="4" t="s">
        <v>546</v>
      </c>
      <c r="J710" s="4" t="n">
        <v>1397</v>
      </c>
    </row>
    <row r="711" customFormat="false" ht="15.8" hidden="false" customHeight="false" outlineLevel="0" collapsed="false">
      <c r="A711" s="4" t="s">
        <v>755</v>
      </c>
      <c r="B711" s="4" t="s">
        <v>952</v>
      </c>
      <c r="C711" s="4" t="s">
        <v>953</v>
      </c>
      <c r="D711" s="4" t="s">
        <v>133</v>
      </c>
      <c r="E711" s="4" t="n">
        <v>2009</v>
      </c>
      <c r="F711" s="4" t="s">
        <v>538</v>
      </c>
      <c r="G711" s="13" t="n">
        <v>6.34</v>
      </c>
      <c r="H711" s="4" t="s">
        <v>1009</v>
      </c>
      <c r="I711" s="4" t="s">
        <v>999</v>
      </c>
      <c r="J711" s="4" t="n">
        <v>1398</v>
      </c>
    </row>
    <row r="712" customFormat="false" ht="15.8" hidden="false" customHeight="false" outlineLevel="0" collapsed="false">
      <c r="A712" s="4" t="s">
        <v>755</v>
      </c>
      <c r="B712" s="4" t="s">
        <v>952</v>
      </c>
      <c r="C712" s="4" t="s">
        <v>953</v>
      </c>
      <c r="D712" s="4" t="s">
        <v>133</v>
      </c>
      <c r="E712" s="4" t="n">
        <v>2009</v>
      </c>
      <c r="F712" s="4" t="s">
        <v>538</v>
      </c>
      <c r="G712" s="13" t="n">
        <v>6.34</v>
      </c>
      <c r="H712" s="4" t="s">
        <v>1010</v>
      </c>
      <c r="I712" s="4" t="s">
        <v>999</v>
      </c>
      <c r="J712" s="4" t="n">
        <v>1399</v>
      </c>
    </row>
    <row r="713" customFormat="false" ht="15.8" hidden="false" customHeight="false" outlineLevel="0" collapsed="false">
      <c r="A713" s="4" t="s">
        <v>755</v>
      </c>
      <c r="B713" s="4" t="s">
        <v>952</v>
      </c>
      <c r="C713" s="4" t="s">
        <v>953</v>
      </c>
      <c r="D713" s="4" t="s">
        <v>91</v>
      </c>
      <c r="E713" s="4" t="n">
        <v>2014</v>
      </c>
      <c r="F713" s="4" t="s">
        <v>544</v>
      </c>
      <c r="G713" s="13" t="n">
        <v>6.36790697674419</v>
      </c>
      <c r="H713" s="4" t="s">
        <v>1011</v>
      </c>
      <c r="I713" s="4" t="s">
        <v>546</v>
      </c>
      <c r="J713" s="4" t="n">
        <v>1400</v>
      </c>
    </row>
    <row r="714" customFormat="false" ht="15.8" hidden="false" customHeight="false" outlineLevel="0" collapsed="false">
      <c r="A714" s="4" t="s">
        <v>755</v>
      </c>
      <c r="B714" s="4" t="s">
        <v>952</v>
      </c>
      <c r="C714" s="4" t="s">
        <v>953</v>
      </c>
      <c r="D714" s="4" t="s">
        <v>91</v>
      </c>
      <c r="E714" s="4" t="n">
        <v>2014</v>
      </c>
      <c r="F714" s="4" t="s">
        <v>544</v>
      </c>
      <c r="G714" s="13" t="n">
        <v>6.38948453608248</v>
      </c>
      <c r="I714" s="4" t="s">
        <v>546</v>
      </c>
      <c r="J714" s="4" t="n">
        <v>1401</v>
      </c>
    </row>
    <row r="715" customFormat="false" ht="15.8" hidden="false" customHeight="false" outlineLevel="0" collapsed="false">
      <c r="A715" s="4" t="s">
        <v>755</v>
      </c>
      <c r="B715" s="4" t="s">
        <v>952</v>
      </c>
      <c r="C715" s="4" t="s">
        <v>953</v>
      </c>
      <c r="D715" s="4" t="s">
        <v>133</v>
      </c>
      <c r="E715" s="4" t="n">
        <v>2006</v>
      </c>
      <c r="F715" s="4" t="s">
        <v>538</v>
      </c>
      <c r="G715" s="13" t="n">
        <v>6.4</v>
      </c>
      <c r="I715" s="4" t="s">
        <v>572</v>
      </c>
      <c r="J715" s="4" t="n">
        <v>1402</v>
      </c>
    </row>
    <row r="716" customFormat="false" ht="15.8" hidden="false" customHeight="false" outlineLevel="0" collapsed="false">
      <c r="A716" s="4" t="s">
        <v>755</v>
      </c>
      <c r="B716" s="4" t="s">
        <v>952</v>
      </c>
      <c r="C716" s="4" t="s">
        <v>953</v>
      </c>
      <c r="D716" s="4" t="s">
        <v>103</v>
      </c>
      <c r="E716" s="4" t="n">
        <v>2011</v>
      </c>
      <c r="F716" s="4" t="s">
        <v>527</v>
      </c>
      <c r="G716" s="13" t="n">
        <v>6.52</v>
      </c>
      <c r="I716" s="4" t="s">
        <v>598</v>
      </c>
      <c r="J716" s="4" t="n">
        <v>1403</v>
      </c>
    </row>
    <row r="717" customFormat="false" ht="15.8" hidden="false" customHeight="false" outlineLevel="0" collapsed="false">
      <c r="A717" s="4" t="s">
        <v>755</v>
      </c>
      <c r="B717" s="4" t="s">
        <v>952</v>
      </c>
      <c r="C717" s="4" t="s">
        <v>953</v>
      </c>
      <c r="D717" s="4" t="s">
        <v>91</v>
      </c>
      <c r="E717" s="4" t="n">
        <v>2014</v>
      </c>
      <c r="F717" s="4" t="s">
        <v>544</v>
      </c>
      <c r="G717" s="13" t="n">
        <v>6.5306976744186</v>
      </c>
      <c r="H717" s="4" t="s">
        <v>1012</v>
      </c>
      <c r="I717" s="4" t="s">
        <v>959</v>
      </c>
      <c r="J717" s="4" t="n">
        <v>1404</v>
      </c>
    </row>
    <row r="718" customFormat="false" ht="15.8" hidden="false" customHeight="false" outlineLevel="0" collapsed="false">
      <c r="A718" s="4" t="s">
        <v>755</v>
      </c>
      <c r="B718" s="4" t="s">
        <v>952</v>
      </c>
      <c r="C718" s="4" t="s">
        <v>953</v>
      </c>
      <c r="D718" s="4" t="s">
        <v>91</v>
      </c>
      <c r="E718" s="4" t="n">
        <v>2014</v>
      </c>
      <c r="F718" s="4" t="s">
        <v>544</v>
      </c>
      <c r="G718" s="13" t="n">
        <v>6.57720930232558</v>
      </c>
      <c r="H718" s="4" t="s">
        <v>1013</v>
      </c>
      <c r="I718" s="4" t="s">
        <v>546</v>
      </c>
      <c r="J718" s="4" t="n">
        <v>1405</v>
      </c>
    </row>
    <row r="719" customFormat="false" ht="15.8" hidden="false" customHeight="false" outlineLevel="0" collapsed="false">
      <c r="A719" s="4" t="s">
        <v>755</v>
      </c>
      <c r="B719" s="4" t="s">
        <v>952</v>
      </c>
      <c r="C719" s="4" t="s">
        <v>953</v>
      </c>
      <c r="D719" s="4" t="s">
        <v>859</v>
      </c>
      <c r="E719" s="4" t="n">
        <v>2012</v>
      </c>
      <c r="F719" s="4" t="s">
        <v>527</v>
      </c>
      <c r="G719" s="13" t="n">
        <v>6.6</v>
      </c>
      <c r="I719" s="4" t="s">
        <v>863</v>
      </c>
      <c r="J719" s="4" t="n">
        <v>1406</v>
      </c>
    </row>
    <row r="720" customFormat="false" ht="15.8" hidden="false" customHeight="false" outlineLevel="0" collapsed="false">
      <c r="A720" s="4" t="s">
        <v>755</v>
      </c>
      <c r="B720" s="4" t="s">
        <v>952</v>
      </c>
      <c r="C720" s="4" t="s">
        <v>953</v>
      </c>
      <c r="D720" s="4" t="s">
        <v>116</v>
      </c>
      <c r="E720" s="4" t="n">
        <v>2011</v>
      </c>
      <c r="F720" s="4" t="s">
        <v>527</v>
      </c>
      <c r="G720" s="13" t="n">
        <v>6.63</v>
      </c>
      <c r="I720" s="4" t="s">
        <v>598</v>
      </c>
      <c r="J720" s="4" t="n">
        <v>1407</v>
      </c>
    </row>
    <row r="721" customFormat="false" ht="15.8" hidden="false" customHeight="false" outlineLevel="0" collapsed="false">
      <c r="A721" s="4" t="s">
        <v>755</v>
      </c>
      <c r="B721" s="4" t="s">
        <v>952</v>
      </c>
      <c r="C721" s="4" t="s">
        <v>953</v>
      </c>
      <c r="D721" s="4" t="s">
        <v>126</v>
      </c>
      <c r="E721" s="4" t="n">
        <v>2011</v>
      </c>
      <c r="F721" s="4" t="s">
        <v>527</v>
      </c>
      <c r="G721" s="13" t="n">
        <v>6.65</v>
      </c>
      <c r="I721" s="4" t="s">
        <v>598</v>
      </c>
      <c r="J721" s="4" t="n">
        <v>1408</v>
      </c>
    </row>
    <row r="722" customFormat="false" ht="15.8" hidden="false" customHeight="false" outlineLevel="0" collapsed="false">
      <c r="A722" s="4" t="s">
        <v>755</v>
      </c>
      <c r="B722" s="4" t="s">
        <v>952</v>
      </c>
      <c r="C722" s="4" t="s">
        <v>953</v>
      </c>
      <c r="D722" s="4" t="s">
        <v>101</v>
      </c>
      <c r="E722" s="4" t="n">
        <v>2008</v>
      </c>
      <c r="F722" s="4" t="s">
        <v>527</v>
      </c>
      <c r="G722" s="13" t="n">
        <v>6.65162790697674</v>
      </c>
      <c r="I722" s="4" t="s">
        <v>1014</v>
      </c>
      <c r="J722" s="4" t="n">
        <v>1409</v>
      </c>
    </row>
    <row r="723" customFormat="false" ht="15.8" hidden="false" customHeight="false" outlineLevel="0" collapsed="false">
      <c r="A723" s="4" t="s">
        <v>755</v>
      </c>
      <c r="B723" s="4" t="s">
        <v>952</v>
      </c>
      <c r="C723" s="4" t="s">
        <v>953</v>
      </c>
      <c r="D723" s="4" t="s">
        <v>778</v>
      </c>
      <c r="E723" s="4" t="n">
        <v>2013</v>
      </c>
      <c r="F723" s="4" t="s">
        <v>538</v>
      </c>
      <c r="G723" s="13" t="n">
        <v>6.75324675324675</v>
      </c>
      <c r="I723" s="4" t="s">
        <v>779</v>
      </c>
      <c r="J723" s="4" t="n">
        <v>1410</v>
      </c>
    </row>
    <row r="724" customFormat="false" ht="15.8" hidden="false" customHeight="false" outlineLevel="0" collapsed="false">
      <c r="A724" s="4" t="s">
        <v>755</v>
      </c>
      <c r="B724" s="4" t="s">
        <v>952</v>
      </c>
      <c r="C724" s="4" t="s">
        <v>953</v>
      </c>
      <c r="D724" s="4" t="s">
        <v>101</v>
      </c>
      <c r="E724" s="4" t="n">
        <v>2008</v>
      </c>
      <c r="F724" s="4" t="s">
        <v>527</v>
      </c>
      <c r="G724" s="13" t="n">
        <v>6.88418604651163</v>
      </c>
      <c r="I724" s="4" t="s">
        <v>1014</v>
      </c>
      <c r="J724" s="4" t="n">
        <v>1411</v>
      </c>
    </row>
    <row r="725" customFormat="false" ht="15.8" hidden="false" customHeight="false" outlineLevel="0" collapsed="false">
      <c r="A725" s="4" t="s">
        <v>755</v>
      </c>
      <c r="B725" s="4" t="s">
        <v>952</v>
      </c>
      <c r="C725" s="4" t="s">
        <v>953</v>
      </c>
      <c r="D725" s="4" t="s">
        <v>133</v>
      </c>
      <c r="E725" s="4" t="n">
        <v>2012</v>
      </c>
      <c r="F725" s="4" t="s">
        <v>544</v>
      </c>
      <c r="G725" s="13" t="n">
        <v>6.91966101694915</v>
      </c>
      <c r="I725" s="4" t="s">
        <v>591</v>
      </c>
      <c r="J725" s="4" t="n">
        <v>1412</v>
      </c>
    </row>
    <row r="726" customFormat="false" ht="15.8" hidden="false" customHeight="false" outlineLevel="0" collapsed="false">
      <c r="A726" s="4" t="s">
        <v>755</v>
      </c>
      <c r="B726" s="4" t="s">
        <v>952</v>
      </c>
      <c r="C726" s="4" t="s">
        <v>953</v>
      </c>
      <c r="D726" s="4" t="s">
        <v>131</v>
      </c>
      <c r="E726" s="4" t="n">
        <v>2011</v>
      </c>
      <c r="F726" s="4" t="s">
        <v>527</v>
      </c>
      <c r="G726" s="13" t="n">
        <v>7.2</v>
      </c>
      <c r="H726" s="4" t="s">
        <v>775</v>
      </c>
      <c r="I726" s="4" t="s">
        <v>735</v>
      </c>
      <c r="J726" s="4" t="n">
        <v>1413</v>
      </c>
    </row>
    <row r="727" customFormat="false" ht="15.8" hidden="false" customHeight="false" outlineLevel="0" collapsed="false">
      <c r="A727" s="4" t="s">
        <v>755</v>
      </c>
      <c r="B727" s="4" t="s">
        <v>952</v>
      </c>
      <c r="C727" s="4" t="s">
        <v>953</v>
      </c>
      <c r="D727" s="4" t="s">
        <v>991</v>
      </c>
      <c r="E727" s="4" t="n">
        <v>2010</v>
      </c>
      <c r="F727" s="4" t="s">
        <v>527</v>
      </c>
      <c r="G727" s="13" t="n">
        <v>7.23302325581395</v>
      </c>
      <c r="H727" s="4" t="s">
        <v>1015</v>
      </c>
      <c r="I727" s="4" t="s">
        <v>993</v>
      </c>
      <c r="J727" s="4" t="n">
        <v>1414</v>
      </c>
    </row>
    <row r="728" customFormat="false" ht="15.8" hidden="false" customHeight="false" outlineLevel="0" collapsed="false">
      <c r="A728" s="4" t="s">
        <v>755</v>
      </c>
      <c r="B728" s="4" t="s">
        <v>952</v>
      </c>
      <c r="C728" s="4" t="s">
        <v>953</v>
      </c>
      <c r="D728" s="4" t="s">
        <v>91</v>
      </c>
      <c r="E728" s="4" t="n">
        <v>2014</v>
      </c>
      <c r="F728" s="4" t="s">
        <v>544</v>
      </c>
      <c r="G728" s="13" t="n">
        <v>7.32139534883721</v>
      </c>
      <c r="H728" s="4" t="s">
        <v>1016</v>
      </c>
      <c r="I728" s="4" t="s">
        <v>546</v>
      </c>
      <c r="J728" s="4" t="n">
        <v>1415</v>
      </c>
    </row>
    <row r="729" customFormat="false" ht="15.8" hidden="false" customHeight="false" outlineLevel="0" collapsed="false">
      <c r="A729" s="4" t="s">
        <v>755</v>
      </c>
      <c r="B729" s="4" t="s">
        <v>952</v>
      </c>
      <c r="C729" s="4" t="s">
        <v>953</v>
      </c>
      <c r="D729" s="4" t="s">
        <v>153</v>
      </c>
      <c r="E729" s="4" t="n">
        <v>2014</v>
      </c>
      <c r="F729" s="4" t="s">
        <v>544</v>
      </c>
      <c r="G729" s="13" t="n">
        <v>7.65</v>
      </c>
      <c r="H729" s="4" t="s">
        <v>809</v>
      </c>
      <c r="I729" s="4" t="s">
        <v>763</v>
      </c>
      <c r="J729" s="4" t="n">
        <v>1416</v>
      </c>
    </row>
    <row r="730" customFormat="false" ht="15.8" hidden="false" customHeight="false" outlineLevel="0" collapsed="false">
      <c r="A730" s="4" t="s">
        <v>755</v>
      </c>
      <c r="B730" s="4" t="s">
        <v>952</v>
      </c>
      <c r="C730" s="4" t="s">
        <v>953</v>
      </c>
      <c r="D730" s="4" t="s">
        <v>91</v>
      </c>
      <c r="E730" s="4" t="n">
        <v>2005</v>
      </c>
      <c r="F730" s="4" t="s">
        <v>527</v>
      </c>
      <c r="G730" s="13" t="n">
        <v>7.7</v>
      </c>
      <c r="H730" s="4" t="s">
        <v>1017</v>
      </c>
      <c r="I730" s="4" t="s">
        <v>981</v>
      </c>
      <c r="J730" s="4" t="n">
        <v>1417</v>
      </c>
    </row>
    <row r="731" customFormat="false" ht="15.8" hidden="false" customHeight="false" outlineLevel="0" collapsed="false">
      <c r="A731" s="4" t="s">
        <v>755</v>
      </c>
      <c r="B731" s="4" t="s">
        <v>952</v>
      </c>
      <c r="C731" s="4" t="s">
        <v>953</v>
      </c>
      <c r="D731" s="4" t="s">
        <v>965</v>
      </c>
      <c r="E731" s="4" t="n">
        <v>2014</v>
      </c>
      <c r="F731" s="4" t="s">
        <v>544</v>
      </c>
      <c r="G731" s="13" t="n">
        <v>7.78651162790698</v>
      </c>
      <c r="H731" s="4" t="s">
        <v>1018</v>
      </c>
      <c r="I731" s="4" t="s">
        <v>967</v>
      </c>
      <c r="J731" s="4" t="n">
        <v>1418</v>
      </c>
    </row>
    <row r="732" customFormat="false" ht="15.8" hidden="false" customHeight="false" outlineLevel="0" collapsed="false">
      <c r="A732" s="4" t="s">
        <v>755</v>
      </c>
      <c r="B732" s="4" t="s">
        <v>952</v>
      </c>
      <c r="C732" s="4" t="s">
        <v>953</v>
      </c>
      <c r="D732" s="4" t="s">
        <v>877</v>
      </c>
      <c r="E732" s="4" t="n">
        <v>2013</v>
      </c>
      <c r="F732" s="4" t="s">
        <v>538</v>
      </c>
      <c r="G732" s="13" t="n">
        <v>7.79220779220779</v>
      </c>
      <c r="I732" s="4" t="s">
        <v>779</v>
      </c>
      <c r="J732" s="4" t="n">
        <v>1419</v>
      </c>
    </row>
    <row r="733" customFormat="false" ht="15.8" hidden="false" customHeight="false" outlineLevel="0" collapsed="false">
      <c r="A733" s="4" t="s">
        <v>755</v>
      </c>
      <c r="B733" s="4" t="s">
        <v>952</v>
      </c>
      <c r="C733" s="4" t="s">
        <v>953</v>
      </c>
      <c r="D733" s="4" t="s">
        <v>101</v>
      </c>
      <c r="E733" s="4" t="n">
        <v>2008</v>
      </c>
      <c r="F733" s="4" t="s">
        <v>527</v>
      </c>
      <c r="G733" s="13" t="n">
        <v>7.81441860465116</v>
      </c>
      <c r="I733" s="4" t="s">
        <v>1014</v>
      </c>
      <c r="J733" s="4" t="n">
        <v>1420</v>
      </c>
    </row>
    <row r="734" customFormat="false" ht="15.8" hidden="false" customHeight="false" outlineLevel="0" collapsed="false">
      <c r="A734" s="4" t="s">
        <v>755</v>
      </c>
      <c r="B734" s="4" t="s">
        <v>952</v>
      </c>
      <c r="C734" s="4" t="s">
        <v>953</v>
      </c>
      <c r="D734" s="4" t="s">
        <v>153</v>
      </c>
      <c r="E734" s="4" t="n">
        <v>2014</v>
      </c>
      <c r="F734" s="4" t="s">
        <v>544</v>
      </c>
      <c r="G734" s="13" t="n">
        <v>7.85</v>
      </c>
      <c r="H734" s="4" t="s">
        <v>826</v>
      </c>
      <c r="I734" s="4" t="s">
        <v>763</v>
      </c>
      <c r="J734" s="4" t="n">
        <v>1421</v>
      </c>
    </row>
    <row r="735" customFormat="false" ht="15.8" hidden="false" customHeight="false" outlineLevel="0" collapsed="false">
      <c r="A735" s="4" t="s">
        <v>755</v>
      </c>
      <c r="B735" s="4" t="s">
        <v>952</v>
      </c>
      <c r="C735" s="4" t="s">
        <v>953</v>
      </c>
      <c r="D735" s="4" t="s">
        <v>991</v>
      </c>
      <c r="E735" s="4" t="n">
        <v>2010</v>
      </c>
      <c r="F735" s="4" t="s">
        <v>527</v>
      </c>
      <c r="G735" s="13" t="n">
        <v>7.93069767441861</v>
      </c>
      <c r="H735" s="4" t="s">
        <v>1019</v>
      </c>
      <c r="I735" s="4" t="s">
        <v>993</v>
      </c>
      <c r="J735" s="4" t="n">
        <v>1422</v>
      </c>
    </row>
    <row r="736" customFormat="false" ht="15.8" hidden="false" customHeight="false" outlineLevel="0" collapsed="false">
      <c r="A736" s="4" t="s">
        <v>755</v>
      </c>
      <c r="B736" s="4" t="s">
        <v>952</v>
      </c>
      <c r="C736" s="4" t="s">
        <v>953</v>
      </c>
      <c r="D736" s="4" t="s">
        <v>477</v>
      </c>
      <c r="E736" s="4" t="n">
        <v>2010</v>
      </c>
      <c r="F736" s="4" t="s">
        <v>538</v>
      </c>
      <c r="G736" s="13" t="n">
        <v>7.95</v>
      </c>
      <c r="I736" s="4" t="s">
        <v>1020</v>
      </c>
      <c r="J736" s="4" t="n">
        <v>1423</v>
      </c>
    </row>
    <row r="737" customFormat="false" ht="15.8" hidden="false" customHeight="false" outlineLevel="0" collapsed="false">
      <c r="A737" s="4" t="s">
        <v>755</v>
      </c>
      <c r="B737" s="4" t="s">
        <v>952</v>
      </c>
      <c r="C737" s="4" t="s">
        <v>953</v>
      </c>
      <c r="D737" s="4" t="s">
        <v>117</v>
      </c>
      <c r="E737" s="4" t="n">
        <v>2011</v>
      </c>
      <c r="F737" s="4" t="s">
        <v>527</v>
      </c>
      <c r="G737" s="13" t="n">
        <v>8.05</v>
      </c>
      <c r="I737" s="4" t="s">
        <v>598</v>
      </c>
      <c r="J737" s="4" t="n">
        <v>1424</v>
      </c>
    </row>
    <row r="738" customFormat="false" ht="15.8" hidden="false" customHeight="false" outlineLevel="0" collapsed="false">
      <c r="A738" s="4" t="s">
        <v>755</v>
      </c>
      <c r="B738" s="4" t="s">
        <v>952</v>
      </c>
      <c r="C738" s="4" t="s">
        <v>953</v>
      </c>
      <c r="D738" s="4" t="s">
        <v>134</v>
      </c>
      <c r="E738" s="4" t="n">
        <v>2012</v>
      </c>
      <c r="F738" s="4" t="s">
        <v>527</v>
      </c>
      <c r="G738" s="13" t="n">
        <v>8.13559322033898</v>
      </c>
      <c r="I738" s="4" t="s">
        <v>1021</v>
      </c>
      <c r="J738" s="4" t="n">
        <v>1425</v>
      </c>
    </row>
    <row r="739" customFormat="false" ht="15.8" hidden="false" customHeight="false" outlineLevel="0" collapsed="false">
      <c r="A739" s="4" t="s">
        <v>755</v>
      </c>
      <c r="B739" s="4" t="s">
        <v>952</v>
      </c>
      <c r="C739" s="4" t="s">
        <v>953</v>
      </c>
      <c r="D739" s="4" t="s">
        <v>789</v>
      </c>
      <c r="E739" s="4" t="n">
        <v>2012</v>
      </c>
      <c r="F739" s="4" t="s">
        <v>544</v>
      </c>
      <c r="G739" s="13" t="n">
        <v>8.20976744186047</v>
      </c>
      <c r="H739" s="4" t="s">
        <v>1022</v>
      </c>
      <c r="I739" s="4" t="s">
        <v>985</v>
      </c>
      <c r="J739" s="4" t="n">
        <v>1426</v>
      </c>
    </row>
    <row r="740" customFormat="false" ht="15.8" hidden="false" customHeight="false" outlineLevel="0" collapsed="false">
      <c r="A740" s="4" t="s">
        <v>755</v>
      </c>
      <c r="B740" s="4" t="s">
        <v>952</v>
      </c>
      <c r="C740" s="4" t="s">
        <v>953</v>
      </c>
      <c r="D740" s="4" t="s">
        <v>102</v>
      </c>
      <c r="E740" s="4" t="n">
        <v>2012</v>
      </c>
      <c r="F740" s="4" t="s">
        <v>544</v>
      </c>
      <c r="G740" s="13" t="n">
        <v>8.41860465116279</v>
      </c>
      <c r="I740" s="4" t="s">
        <v>995</v>
      </c>
      <c r="J740" s="4" t="n">
        <v>1427</v>
      </c>
    </row>
    <row r="741" customFormat="false" ht="15.8" hidden="false" customHeight="false" outlineLevel="0" collapsed="false">
      <c r="A741" s="4" t="s">
        <v>755</v>
      </c>
      <c r="B741" s="4" t="s">
        <v>952</v>
      </c>
      <c r="C741" s="4" t="s">
        <v>953</v>
      </c>
      <c r="D741" s="4" t="s">
        <v>153</v>
      </c>
      <c r="E741" s="4" t="n">
        <v>2014</v>
      </c>
      <c r="F741" s="4" t="s">
        <v>544</v>
      </c>
      <c r="G741" s="13" t="n">
        <v>8.45</v>
      </c>
      <c r="H741" s="4" t="s">
        <v>835</v>
      </c>
      <c r="I741" s="4" t="s">
        <v>763</v>
      </c>
      <c r="J741" s="4" t="n">
        <v>1428</v>
      </c>
    </row>
    <row r="742" customFormat="false" ht="15.8" hidden="false" customHeight="false" outlineLevel="0" collapsed="false">
      <c r="A742" s="4" t="s">
        <v>755</v>
      </c>
      <c r="B742" s="4" t="s">
        <v>952</v>
      </c>
      <c r="C742" s="4" t="s">
        <v>953</v>
      </c>
      <c r="D742" s="4" t="s">
        <v>153</v>
      </c>
      <c r="E742" s="4" t="n">
        <v>2010</v>
      </c>
      <c r="F742" s="4" t="s">
        <v>538</v>
      </c>
      <c r="G742" s="13" t="n">
        <v>8.47457627118644</v>
      </c>
      <c r="H742" s="4" t="s">
        <v>1023</v>
      </c>
      <c r="I742" s="4" t="s">
        <v>962</v>
      </c>
      <c r="J742" s="4" t="n">
        <v>1429</v>
      </c>
    </row>
    <row r="743" customFormat="false" ht="15.8" hidden="false" customHeight="false" outlineLevel="0" collapsed="false">
      <c r="A743" s="4" t="s">
        <v>755</v>
      </c>
      <c r="B743" s="4" t="s">
        <v>952</v>
      </c>
      <c r="C743" s="4" t="s">
        <v>953</v>
      </c>
      <c r="D743" s="4" t="s">
        <v>477</v>
      </c>
      <c r="E743" s="4" t="n">
        <v>2013</v>
      </c>
      <c r="F743" s="4" t="s">
        <v>527</v>
      </c>
      <c r="G743" s="13" t="n">
        <v>8.53</v>
      </c>
      <c r="I743" s="4" t="s">
        <v>569</v>
      </c>
      <c r="J743" s="4" t="n">
        <v>1430</v>
      </c>
    </row>
    <row r="744" customFormat="false" ht="15.8" hidden="false" customHeight="false" outlineLevel="0" collapsed="false">
      <c r="A744" s="4" t="s">
        <v>755</v>
      </c>
      <c r="B744" s="4" t="s">
        <v>952</v>
      </c>
      <c r="C744" s="4" t="s">
        <v>953</v>
      </c>
      <c r="D744" s="4" t="s">
        <v>838</v>
      </c>
      <c r="E744" s="4" t="n">
        <v>2013</v>
      </c>
      <c r="F744" s="4" t="s">
        <v>538</v>
      </c>
      <c r="G744" s="13" t="n">
        <v>8.57142857142857</v>
      </c>
      <c r="I744" s="4" t="s">
        <v>779</v>
      </c>
      <c r="J744" s="4" t="n">
        <v>1431</v>
      </c>
    </row>
    <row r="745" customFormat="false" ht="15.8" hidden="false" customHeight="false" outlineLevel="0" collapsed="false">
      <c r="A745" s="4" t="s">
        <v>755</v>
      </c>
      <c r="B745" s="4" t="s">
        <v>952</v>
      </c>
      <c r="C745" s="4" t="s">
        <v>953</v>
      </c>
      <c r="D745" s="4" t="s">
        <v>91</v>
      </c>
      <c r="E745" s="4" t="n">
        <v>2005</v>
      </c>
      <c r="F745" s="4" t="s">
        <v>527</v>
      </c>
      <c r="G745" s="13" t="n">
        <v>8.8</v>
      </c>
      <c r="H745" s="4" t="s">
        <v>1024</v>
      </c>
      <c r="I745" s="4" t="s">
        <v>981</v>
      </c>
      <c r="J745" s="4" t="n">
        <v>1432</v>
      </c>
    </row>
    <row r="746" customFormat="false" ht="15.8" hidden="false" customHeight="false" outlineLevel="0" collapsed="false">
      <c r="A746" s="4" t="s">
        <v>755</v>
      </c>
      <c r="B746" s="4" t="s">
        <v>952</v>
      </c>
      <c r="C746" s="4" t="s">
        <v>953</v>
      </c>
      <c r="D746" s="4" t="s">
        <v>91</v>
      </c>
      <c r="E746" s="4" t="n">
        <v>2014</v>
      </c>
      <c r="F746" s="4" t="s">
        <v>544</v>
      </c>
      <c r="G746" s="13" t="n">
        <v>8.80976744186047</v>
      </c>
      <c r="H746" s="4" t="s">
        <v>1025</v>
      </c>
      <c r="I746" s="4" t="s">
        <v>546</v>
      </c>
      <c r="J746" s="4" t="n">
        <v>1433</v>
      </c>
    </row>
    <row r="747" customFormat="false" ht="15.8" hidden="false" customHeight="false" outlineLevel="0" collapsed="false">
      <c r="A747" s="4" t="s">
        <v>755</v>
      </c>
      <c r="B747" s="4" t="s">
        <v>952</v>
      </c>
      <c r="C747" s="4" t="s">
        <v>953</v>
      </c>
      <c r="D747" s="4" t="s">
        <v>103</v>
      </c>
      <c r="E747" s="4" t="n">
        <v>2010</v>
      </c>
      <c r="F747" s="4" t="s">
        <v>544</v>
      </c>
      <c r="G747" s="13" t="n">
        <v>8.98305084745763</v>
      </c>
      <c r="H747" s="4" t="s">
        <v>1026</v>
      </c>
      <c r="I747" s="4" t="s">
        <v>1027</v>
      </c>
      <c r="J747" s="4" t="n">
        <v>1434</v>
      </c>
    </row>
    <row r="748" customFormat="false" ht="15.8" hidden="false" customHeight="false" outlineLevel="0" collapsed="false">
      <c r="A748" s="4" t="s">
        <v>755</v>
      </c>
      <c r="B748" s="4" t="s">
        <v>952</v>
      </c>
      <c r="C748" s="4" t="s">
        <v>953</v>
      </c>
      <c r="D748" s="4" t="s">
        <v>153</v>
      </c>
      <c r="E748" s="4" t="n">
        <v>2010</v>
      </c>
      <c r="F748" s="4" t="s">
        <v>538</v>
      </c>
      <c r="G748" s="13" t="n">
        <v>9.32203389830509</v>
      </c>
      <c r="H748" s="4" t="s">
        <v>1028</v>
      </c>
      <c r="I748" s="4" t="s">
        <v>962</v>
      </c>
      <c r="J748" s="4" t="n">
        <v>1435</v>
      </c>
    </row>
    <row r="749" customFormat="false" ht="15.8" hidden="false" customHeight="false" outlineLevel="0" collapsed="false">
      <c r="A749" s="4" t="s">
        <v>755</v>
      </c>
      <c r="B749" s="4" t="s">
        <v>952</v>
      </c>
      <c r="C749" s="4" t="s">
        <v>953</v>
      </c>
      <c r="D749" s="4" t="s">
        <v>153</v>
      </c>
      <c r="E749" s="4" t="n">
        <v>2010</v>
      </c>
      <c r="F749" s="4" t="s">
        <v>538</v>
      </c>
      <c r="G749" s="13" t="n">
        <v>9.49152542372881</v>
      </c>
      <c r="H749" s="4" t="s">
        <v>1029</v>
      </c>
      <c r="I749" s="4" t="s">
        <v>962</v>
      </c>
      <c r="J749" s="4" t="n">
        <v>1436</v>
      </c>
    </row>
    <row r="750" customFormat="false" ht="15.8" hidden="false" customHeight="false" outlineLevel="0" collapsed="false">
      <c r="A750" s="4" t="s">
        <v>755</v>
      </c>
      <c r="B750" s="4" t="s">
        <v>952</v>
      </c>
      <c r="C750" s="4" t="s">
        <v>953</v>
      </c>
      <c r="D750" s="4" t="s">
        <v>1030</v>
      </c>
      <c r="E750" s="4" t="n">
        <v>2014</v>
      </c>
      <c r="F750" s="4" t="s">
        <v>544</v>
      </c>
      <c r="G750" s="13" t="n">
        <v>10.2516279069767</v>
      </c>
      <c r="H750" s="4" t="s">
        <v>1031</v>
      </c>
      <c r="I750" s="4" t="s">
        <v>967</v>
      </c>
      <c r="J750" s="4" t="n">
        <v>1437</v>
      </c>
    </row>
    <row r="751" customFormat="false" ht="15.8" hidden="false" customHeight="false" outlineLevel="0" collapsed="false">
      <c r="A751" s="4" t="s">
        <v>755</v>
      </c>
      <c r="B751" s="4" t="s">
        <v>952</v>
      </c>
      <c r="C751" s="4" t="s">
        <v>953</v>
      </c>
      <c r="D751" s="4" t="s">
        <v>922</v>
      </c>
      <c r="E751" s="4" t="n">
        <v>2013</v>
      </c>
      <c r="F751" s="4" t="s">
        <v>538</v>
      </c>
      <c r="G751" s="13" t="n">
        <v>11.864406779661</v>
      </c>
      <c r="I751" s="4" t="s">
        <v>779</v>
      </c>
      <c r="J751" s="4" t="n">
        <v>1438</v>
      </c>
    </row>
    <row r="752" customFormat="false" ht="15.8" hidden="false" customHeight="false" outlineLevel="0" collapsed="false">
      <c r="A752" s="4" t="s">
        <v>755</v>
      </c>
      <c r="B752" s="4" t="s">
        <v>952</v>
      </c>
      <c r="C752" s="4" t="s">
        <v>953</v>
      </c>
      <c r="D752" s="4" t="s">
        <v>477</v>
      </c>
      <c r="E752" s="4" t="n">
        <v>2008</v>
      </c>
      <c r="F752" s="4" t="s">
        <v>527</v>
      </c>
      <c r="I752" s="4" t="s">
        <v>1032</v>
      </c>
      <c r="J752" s="4" t="n">
        <v>1439</v>
      </c>
    </row>
  </sheetData>
  <autoFilter ref="A1:J315"/>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true" showRowColHeaders="true" showZeros="true" rightToLeft="false" tabSelected="false" showOutlineSymbols="true" defaultGridColor="true" view="normal" topLeftCell="A13" colorId="64" zoomScale="65" zoomScaleNormal="65" zoomScalePageLayoutView="100" workbookViewId="0">
      <selection pane="topLeft" activeCell="O50" activeCellId="0" sqref="O50"/>
    </sheetView>
  </sheetViews>
  <sheetFormatPr defaultColWidth="11.53515625" defaultRowHeight="12.8" zeroHeight="false" outlineLevelRow="0" outlineLevelCol="0"/>
  <sheetData>
    <row r="1" customFormat="false" ht="13.8" hidden="false" customHeight="false" outlineLevel="0" collapsed="false">
      <c r="A1" s="37" t="s">
        <v>1033</v>
      </c>
    </row>
    <row r="2" customFormat="false" ht="13.8" hidden="false" customHeight="false" outlineLevel="0" collapsed="false">
      <c r="A2" s="4" t="s">
        <v>1034</v>
      </c>
      <c r="B2" s="4" t="s">
        <v>1035</v>
      </c>
      <c r="C2" s="4" t="s">
        <v>1036</v>
      </c>
      <c r="D2" s="4" t="s">
        <v>1037</v>
      </c>
      <c r="E2" s="4" t="s">
        <v>506</v>
      </c>
      <c r="F2" s="4" t="s">
        <v>1038</v>
      </c>
      <c r="I2" s="4" t="s">
        <v>1039</v>
      </c>
      <c r="J2" s="4" t="s">
        <v>1035</v>
      </c>
      <c r="K2" s="4" t="s">
        <v>1036</v>
      </c>
      <c r="L2" s="4" t="s">
        <v>1037</v>
      </c>
      <c r="M2" s="4" t="s">
        <v>506</v>
      </c>
      <c r="N2" s="4" t="s">
        <v>1038</v>
      </c>
    </row>
    <row r="3" customFormat="false" ht="13.8" hidden="false" customHeight="false" outlineLevel="0" collapsed="false">
      <c r="A3" s="4" t="s">
        <v>1040</v>
      </c>
      <c r="B3" s="4" t="n">
        <v>10.5</v>
      </c>
      <c r="C3" s="4" t="n">
        <v>17.7</v>
      </c>
      <c r="D3" s="4" t="n">
        <v>0</v>
      </c>
      <c r="E3" s="4" t="n">
        <v>0</v>
      </c>
      <c r="F3" s="4" t="n">
        <v>0</v>
      </c>
      <c r="I3" s="4" t="s">
        <v>1040</v>
      </c>
      <c r="J3" s="13" t="n">
        <f aca="false">B3/B$11</f>
        <v>0.290055248618785</v>
      </c>
      <c r="K3" s="13" t="n">
        <f aca="false">C3/C$11</f>
        <v>0.558359621451104</v>
      </c>
      <c r="L3" s="13" t="n">
        <f aca="false">D3/D$11</f>
        <v>0</v>
      </c>
      <c r="M3" s="13" t="n">
        <f aca="false">E3/E$11</f>
        <v>0</v>
      </c>
      <c r="N3" s="13" t="n">
        <f aca="false">F3/F$11</f>
        <v>0</v>
      </c>
    </row>
    <row r="4" customFormat="false" ht="13.8" hidden="false" customHeight="false" outlineLevel="0" collapsed="false">
      <c r="A4" s="4" t="s">
        <v>1041</v>
      </c>
      <c r="B4" s="4" t="n">
        <v>2.7</v>
      </c>
      <c r="C4" s="4" t="n">
        <v>1.5</v>
      </c>
      <c r="D4" s="4" t="n">
        <v>0</v>
      </c>
      <c r="E4" s="4" t="n">
        <v>0</v>
      </c>
      <c r="F4" s="4" t="n">
        <v>0</v>
      </c>
      <c r="I4" s="4" t="s">
        <v>1041</v>
      </c>
      <c r="J4" s="13" t="n">
        <f aca="false">B4/B$11</f>
        <v>0.074585635359116</v>
      </c>
      <c r="K4" s="13" t="n">
        <f aca="false">C4/C$11</f>
        <v>0.0473186119873817</v>
      </c>
      <c r="L4" s="13" t="n">
        <f aca="false">D4/D$11</f>
        <v>0</v>
      </c>
      <c r="M4" s="13" t="n">
        <f aca="false">E4/E$11</f>
        <v>0</v>
      </c>
      <c r="N4" s="13" t="n">
        <f aca="false">F4/F$11</f>
        <v>0</v>
      </c>
    </row>
    <row r="5" customFormat="false" ht="13.8" hidden="false" customHeight="false" outlineLevel="0" collapsed="false">
      <c r="A5" s="4" t="s">
        <v>1042</v>
      </c>
      <c r="B5" s="4" t="n">
        <v>5.8</v>
      </c>
      <c r="C5" s="4" t="n">
        <v>2.4</v>
      </c>
      <c r="D5" s="4" t="n">
        <v>0</v>
      </c>
      <c r="E5" s="4" t="n">
        <v>0</v>
      </c>
      <c r="F5" s="4" t="n">
        <v>0</v>
      </c>
      <c r="I5" s="4" t="s">
        <v>1042</v>
      </c>
      <c r="J5" s="13" t="n">
        <f aca="false">B5/B$11</f>
        <v>0.160220994475138</v>
      </c>
      <c r="K5" s="13" t="n">
        <f aca="false">C5/C$11</f>
        <v>0.0757097791798107</v>
      </c>
      <c r="L5" s="13" t="n">
        <f aca="false">D5/D$11</f>
        <v>0</v>
      </c>
      <c r="M5" s="13" t="n">
        <f aca="false">E5/E$11</f>
        <v>0</v>
      </c>
      <c r="N5" s="13" t="n">
        <f aca="false">F5/F$11</f>
        <v>0</v>
      </c>
    </row>
    <row r="6" customFormat="false" ht="13.8" hidden="false" customHeight="false" outlineLevel="0" collapsed="false">
      <c r="A6" s="4" t="s">
        <v>1043</v>
      </c>
      <c r="B6" s="4" t="n">
        <v>9.3</v>
      </c>
      <c r="C6" s="4" t="n">
        <v>3.9</v>
      </c>
      <c r="D6" s="4" t="n">
        <v>14.5</v>
      </c>
      <c r="E6" s="4" t="n">
        <v>4.8</v>
      </c>
      <c r="F6" s="4" t="n">
        <v>4.2</v>
      </c>
      <c r="I6" s="4" t="s">
        <v>1043</v>
      </c>
      <c r="J6" s="13" t="n">
        <f aca="false">B6/B$11</f>
        <v>0.256906077348066</v>
      </c>
      <c r="K6" s="13" t="n">
        <f aca="false">C6/C$11</f>
        <v>0.123028391167192</v>
      </c>
      <c r="L6" s="13" t="n">
        <f aca="false">D6/D$11</f>
        <v>0.56420233463035</v>
      </c>
      <c r="M6" s="13" t="n">
        <f aca="false">E6/E$11</f>
        <v>0.48</v>
      </c>
      <c r="N6" s="13" t="n">
        <f aca="false">F6/F$11</f>
        <v>0.7</v>
      </c>
    </row>
    <row r="7" customFormat="false" ht="13.8" hidden="false" customHeight="false" outlineLevel="0" collapsed="false">
      <c r="A7" s="4" t="s">
        <v>1044</v>
      </c>
      <c r="B7" s="4" t="n">
        <v>7.2</v>
      </c>
      <c r="C7" s="4" t="n">
        <v>5.8</v>
      </c>
      <c r="D7" s="4" t="n">
        <v>9.6</v>
      </c>
      <c r="E7" s="4" t="n">
        <v>3.8</v>
      </c>
      <c r="F7" s="4" t="n">
        <v>1.4</v>
      </c>
      <c r="I7" s="4" t="s">
        <v>1044</v>
      </c>
      <c r="J7" s="13" t="n">
        <f aca="false">B7/B$11</f>
        <v>0.198895027624309</v>
      </c>
      <c r="K7" s="13" t="n">
        <f aca="false">C7/C$11</f>
        <v>0.182965299684543</v>
      </c>
      <c r="L7" s="13" t="n">
        <f aca="false">D7/D$11</f>
        <v>0.373540856031128</v>
      </c>
      <c r="M7" s="13" t="n">
        <f aca="false">E7/E$11</f>
        <v>0.38</v>
      </c>
      <c r="N7" s="13" t="n">
        <f aca="false">F7/F$11</f>
        <v>0.233333333333333</v>
      </c>
    </row>
    <row r="8" customFormat="false" ht="13.8" hidden="false" customHeight="false" outlineLevel="0" collapsed="false">
      <c r="A8" s="4" t="s">
        <v>1045</v>
      </c>
      <c r="B8" s="4" t="n">
        <v>0.2</v>
      </c>
      <c r="C8" s="4" t="n">
        <v>0.1</v>
      </c>
      <c r="D8" s="4" t="n">
        <v>1.1</v>
      </c>
      <c r="E8" s="4" t="n">
        <v>0.3</v>
      </c>
      <c r="F8" s="4" t="n">
        <v>0.2</v>
      </c>
      <c r="I8" s="4" t="s">
        <v>1045</v>
      </c>
      <c r="J8" s="13" t="n">
        <f aca="false">B8/B$11</f>
        <v>0.00552486187845304</v>
      </c>
      <c r="K8" s="13" t="n">
        <f aca="false">C8/C$11</f>
        <v>0.00315457413249211</v>
      </c>
      <c r="L8" s="13" t="n">
        <f aca="false">D8/D$11</f>
        <v>0.0428015564202335</v>
      </c>
      <c r="M8" s="13" t="n">
        <f aca="false">E8/E$11</f>
        <v>0.03</v>
      </c>
      <c r="N8" s="13" t="n">
        <f aca="false">F8/F$11</f>
        <v>0.0333333333333333</v>
      </c>
    </row>
    <row r="9" customFormat="false" ht="13.8" hidden="false" customHeight="false" outlineLevel="0" collapsed="false">
      <c r="A9" s="4" t="s">
        <v>1046</v>
      </c>
      <c r="B9" s="4" t="n">
        <v>0.4</v>
      </c>
      <c r="C9" s="4" t="n">
        <v>0.2</v>
      </c>
      <c r="D9" s="4" t="n">
        <v>0.5</v>
      </c>
      <c r="E9" s="4" t="n">
        <v>1.1</v>
      </c>
      <c r="F9" s="4" t="n">
        <v>0.2</v>
      </c>
      <c r="I9" s="4" t="s">
        <v>1046</v>
      </c>
      <c r="J9" s="13" t="n">
        <f aca="false">B9/B$11</f>
        <v>0.0110497237569061</v>
      </c>
      <c r="K9" s="13" t="n">
        <f aca="false">C9/C$11</f>
        <v>0.00630914826498423</v>
      </c>
      <c r="L9" s="13" t="n">
        <f aca="false">D9/D$11</f>
        <v>0.0194552529182879</v>
      </c>
      <c r="M9" s="13" t="n">
        <f aca="false">E9/E$11</f>
        <v>0.11</v>
      </c>
      <c r="N9" s="13" t="n">
        <f aca="false">F9/F$11</f>
        <v>0.0333333333333333</v>
      </c>
    </row>
    <row r="10" customFormat="false" ht="13.8" hidden="false" customHeight="false" outlineLevel="0" collapsed="false">
      <c r="A10" s="4" t="s">
        <v>1047</v>
      </c>
      <c r="B10" s="4" t="n">
        <v>0.1</v>
      </c>
      <c r="C10" s="4" t="n">
        <v>0.1</v>
      </c>
      <c r="D10" s="4" t="n">
        <v>0</v>
      </c>
      <c r="E10" s="4" t="n">
        <v>0</v>
      </c>
      <c r="F10" s="4" t="n">
        <v>0</v>
      </c>
      <c r="I10" s="4" t="s">
        <v>1047</v>
      </c>
      <c r="J10" s="13" t="n">
        <f aca="false">B10/B$11</f>
        <v>0.00276243093922652</v>
      </c>
      <c r="K10" s="13" t="n">
        <f aca="false">C10/C$11</f>
        <v>0.00315457413249211</v>
      </c>
      <c r="L10" s="13" t="n">
        <f aca="false">D10/D$11</f>
        <v>0</v>
      </c>
      <c r="M10" s="13" t="n">
        <f aca="false">E10/E$11</f>
        <v>0</v>
      </c>
      <c r="N10" s="13" t="n">
        <f aca="false">F10/F$11</f>
        <v>0</v>
      </c>
    </row>
    <row r="11" customFormat="false" ht="13.8" hidden="false" customHeight="false" outlineLevel="0" collapsed="false">
      <c r="A11" s="4" t="s">
        <v>1048</v>
      </c>
      <c r="B11" s="4" t="n">
        <f aca="false">SUM(B3:B10)</f>
        <v>36.2</v>
      </c>
      <c r="C11" s="4" t="n">
        <f aca="false">SUM(C3:C10)</f>
        <v>31.7</v>
      </c>
      <c r="D11" s="4" t="n">
        <f aca="false">SUM(D3:D10)</f>
        <v>25.7</v>
      </c>
      <c r="E11" s="4" t="n">
        <f aca="false">SUM(E3:E10)</f>
        <v>10</v>
      </c>
      <c r="F11" s="4" t="n">
        <f aca="false">SUM(F3:F10)</f>
        <v>6</v>
      </c>
      <c r="I11" s="4" t="s">
        <v>1048</v>
      </c>
      <c r="J11" s="13" t="n">
        <f aca="false">B11/B$11</f>
        <v>1</v>
      </c>
      <c r="K11" s="13" t="n">
        <f aca="false">C11/C$11</f>
        <v>1</v>
      </c>
      <c r="L11" s="13" t="n">
        <f aca="false">D11/D$11</f>
        <v>1</v>
      </c>
      <c r="M11" s="13" t="n">
        <f aca="false">E11/E$11</f>
        <v>1</v>
      </c>
      <c r="N11" s="13" t="n">
        <f aca="false">F11/F$11</f>
        <v>1</v>
      </c>
    </row>
    <row r="12" customFormat="false" ht="13.8" hidden="false" customHeight="false" outlineLevel="0" collapsed="false"/>
    <row r="13" customFormat="false" ht="13.8" hidden="false" customHeight="false" outlineLevel="0" collapsed="false">
      <c r="A13" s="37" t="s">
        <v>1049</v>
      </c>
    </row>
    <row r="14" customFormat="false" ht="24" hidden="false" customHeight="false" outlineLevel="0" collapsed="false">
      <c r="A14" s="53" t="s">
        <v>1050</v>
      </c>
      <c r="B14" s="53" t="s">
        <v>1035</v>
      </c>
      <c r="C14" s="53" t="s">
        <v>1036</v>
      </c>
      <c r="D14" s="53" t="s">
        <v>1037</v>
      </c>
      <c r="E14" s="53" t="s">
        <v>506</v>
      </c>
      <c r="F14" s="53" t="s">
        <v>1038</v>
      </c>
      <c r="H14" s="53" t="s">
        <v>1051</v>
      </c>
      <c r="I14" s="53" t="s">
        <v>1035</v>
      </c>
      <c r="J14" s="53" t="s">
        <v>1036</v>
      </c>
      <c r="K14" s="53" t="s">
        <v>1037</v>
      </c>
      <c r="L14" s="53" t="s">
        <v>506</v>
      </c>
      <c r="M14" s="53" t="s">
        <v>1038</v>
      </c>
    </row>
    <row r="15" customFormat="false" ht="24" hidden="false" customHeight="false" outlineLevel="0" collapsed="false">
      <c r="A15" s="53" t="s">
        <v>176</v>
      </c>
      <c r="B15" s="46" t="n">
        <v>71</v>
      </c>
      <c r="C15" s="46" t="n">
        <v>94</v>
      </c>
      <c r="D15" s="46" t="n">
        <v>5</v>
      </c>
      <c r="E15" s="46" t="n">
        <v>0</v>
      </c>
      <c r="F15" s="46" t="n">
        <v>0</v>
      </c>
      <c r="H15" s="53" t="s">
        <v>176</v>
      </c>
      <c r="I15" s="11" t="n">
        <f aca="false">B15/B$11</f>
        <v>1.96132596685083</v>
      </c>
      <c r="J15" s="11" t="n">
        <f aca="false">C15/C$11</f>
        <v>2.96529968454259</v>
      </c>
      <c r="K15" s="11" t="n">
        <f aca="false">D15/D$11</f>
        <v>0.194552529182879</v>
      </c>
      <c r="L15" s="11" t="n">
        <f aca="false">E15/E$11</f>
        <v>0</v>
      </c>
      <c r="M15" s="11" t="n">
        <f aca="false">F15/F$11</f>
        <v>0</v>
      </c>
    </row>
    <row r="16" customFormat="false" ht="24" hidden="false" customHeight="false" outlineLevel="0" collapsed="false">
      <c r="A16" s="53" t="s">
        <v>1052</v>
      </c>
      <c r="B16" s="46" t="n">
        <v>53</v>
      </c>
      <c r="C16" s="46" t="n">
        <v>49</v>
      </c>
      <c r="D16" s="46" t="n">
        <v>21</v>
      </c>
      <c r="E16" s="46" t="n">
        <v>7</v>
      </c>
      <c r="F16" s="46" t="n">
        <v>5</v>
      </c>
      <c r="H16" s="53" t="s">
        <v>1052</v>
      </c>
      <c r="I16" s="11" t="n">
        <f aca="false">B16/B$11</f>
        <v>1.46408839779006</v>
      </c>
      <c r="J16" s="11" t="n">
        <f aca="false">C16/C$11</f>
        <v>1.54574132492114</v>
      </c>
      <c r="K16" s="11" t="n">
        <f aca="false">D16/D$11</f>
        <v>0.817120622568093</v>
      </c>
      <c r="L16" s="11" t="n">
        <f aca="false">E16/E$11</f>
        <v>0.7</v>
      </c>
      <c r="M16" s="11" t="n">
        <f aca="false">F16/F$11</f>
        <v>0.833333333333333</v>
      </c>
    </row>
    <row r="17" customFormat="false" ht="35" hidden="false" customHeight="false" outlineLevel="0" collapsed="false">
      <c r="A17" s="53" t="s">
        <v>180</v>
      </c>
      <c r="B17" s="46" t="n">
        <v>21</v>
      </c>
      <c r="C17" s="46" t="n">
        <v>19</v>
      </c>
      <c r="D17" s="46" t="n">
        <v>26</v>
      </c>
      <c r="E17" s="46" t="n">
        <v>3</v>
      </c>
      <c r="F17" s="46" t="n">
        <v>2</v>
      </c>
      <c r="H17" s="53" t="s">
        <v>180</v>
      </c>
      <c r="I17" s="11" t="n">
        <f aca="false">B17/B$11</f>
        <v>0.580110497237569</v>
      </c>
      <c r="J17" s="11" t="n">
        <f aca="false">C17/C$11</f>
        <v>0.599369085173502</v>
      </c>
      <c r="K17" s="11" t="n">
        <f aca="false">D17/D$11</f>
        <v>1.01167315175097</v>
      </c>
      <c r="L17" s="11" t="n">
        <f aca="false">E17/E$11</f>
        <v>0.3</v>
      </c>
      <c r="M17" s="11" t="n">
        <f aca="false">F17/F$11</f>
        <v>0.333333333333333</v>
      </c>
    </row>
    <row r="18" customFormat="false" ht="35" hidden="false" customHeight="false" outlineLevel="0" collapsed="false">
      <c r="A18" s="53" t="s">
        <v>1053</v>
      </c>
      <c r="B18" s="46" t="n">
        <v>14</v>
      </c>
      <c r="C18" s="46" t="n">
        <v>7</v>
      </c>
      <c r="D18" s="46" t="n">
        <v>10</v>
      </c>
      <c r="E18" s="46" t="n">
        <v>2</v>
      </c>
      <c r="F18" s="46" t="n">
        <v>1</v>
      </c>
      <c r="H18" s="53" t="s">
        <v>1053</v>
      </c>
      <c r="I18" s="11" t="n">
        <f aca="false">B18/B$11</f>
        <v>0.386740331491713</v>
      </c>
      <c r="J18" s="11" t="n">
        <f aca="false">C18/C$11</f>
        <v>0.220820189274448</v>
      </c>
      <c r="K18" s="11" t="n">
        <f aca="false">D18/D$11</f>
        <v>0.389105058365759</v>
      </c>
      <c r="L18" s="11" t="n">
        <f aca="false">E18/E$11</f>
        <v>0.2</v>
      </c>
      <c r="M18" s="11" t="n">
        <f aca="false">F18/F$11</f>
        <v>0.166666666666667</v>
      </c>
    </row>
    <row r="19" customFormat="false" ht="24" hidden="false" customHeight="false" outlineLevel="0" collapsed="false">
      <c r="A19" s="53" t="s">
        <v>194</v>
      </c>
      <c r="B19" s="46" t="n">
        <v>21</v>
      </c>
      <c r="C19" s="46" t="n">
        <v>17</v>
      </c>
      <c r="D19" s="46" t="n">
        <v>9</v>
      </c>
      <c r="E19" s="46" t="n">
        <v>3</v>
      </c>
      <c r="F19" s="46" t="n">
        <v>1</v>
      </c>
      <c r="H19" s="53" t="s">
        <v>194</v>
      </c>
      <c r="I19" s="11" t="n">
        <f aca="false">B19/B$11</f>
        <v>0.580110497237569</v>
      </c>
      <c r="J19" s="11" t="n">
        <f aca="false">C19/C$11</f>
        <v>0.536277602523659</v>
      </c>
      <c r="K19" s="11" t="n">
        <f aca="false">D19/D$11</f>
        <v>0.350194552529183</v>
      </c>
      <c r="L19" s="11" t="n">
        <f aca="false">E19/E$11</f>
        <v>0.3</v>
      </c>
      <c r="M19" s="11" t="n">
        <f aca="false">F19/F$11</f>
        <v>0.166666666666667</v>
      </c>
    </row>
    <row r="20" customFormat="false" ht="35" hidden="false" customHeight="false" outlineLevel="0" collapsed="false">
      <c r="A20" s="53" t="s">
        <v>1054</v>
      </c>
      <c r="B20" s="46" t="n">
        <v>15</v>
      </c>
      <c r="C20" s="46" t="n">
        <v>6</v>
      </c>
      <c r="D20" s="46" t="n">
        <v>6</v>
      </c>
      <c r="E20" s="46" t="n">
        <v>3</v>
      </c>
      <c r="F20" s="46" t="n">
        <v>2</v>
      </c>
      <c r="H20" s="53" t="s">
        <v>1054</v>
      </c>
      <c r="I20" s="11" t="n">
        <f aca="false">B20/B$11</f>
        <v>0.414364640883978</v>
      </c>
      <c r="J20" s="11" t="n">
        <f aca="false">C20/C$11</f>
        <v>0.189274447949527</v>
      </c>
      <c r="K20" s="11" t="n">
        <f aca="false">D20/D$11</f>
        <v>0.233463035019455</v>
      </c>
      <c r="L20" s="11" t="n">
        <f aca="false">E20/E$11</f>
        <v>0.3</v>
      </c>
      <c r="M20" s="11" t="n">
        <f aca="false">F20/F$11</f>
        <v>0.333333333333333</v>
      </c>
    </row>
    <row r="21" customFormat="false" ht="13.8" hidden="false" customHeight="false" outlineLevel="0" collapsed="false">
      <c r="A21" s="53" t="s">
        <v>340</v>
      </c>
      <c r="B21" s="54" t="n">
        <v>195</v>
      </c>
      <c r="C21" s="54" t="n">
        <v>192</v>
      </c>
      <c r="D21" s="54" t="n">
        <v>77</v>
      </c>
      <c r="E21" s="54" t="n">
        <v>18</v>
      </c>
      <c r="F21" s="54" t="n">
        <v>11</v>
      </c>
      <c r="H21" s="53" t="s">
        <v>340</v>
      </c>
      <c r="I21" s="11" t="n">
        <f aca="false">B21/B$11</f>
        <v>5.38674033149171</v>
      </c>
      <c r="J21" s="11" t="n">
        <f aca="false">C21/C$11</f>
        <v>6.05678233438486</v>
      </c>
      <c r="K21" s="11" t="n">
        <f aca="false">D21/D$11</f>
        <v>2.99610894941634</v>
      </c>
      <c r="L21" s="11" t="n">
        <f aca="false">E21/E$11</f>
        <v>1.8</v>
      </c>
      <c r="M21" s="11" t="n">
        <f aca="false">F21/F$11</f>
        <v>1.83333333333333</v>
      </c>
    </row>
    <row r="25" customFormat="false" ht="13.8" hidden="false" customHeight="false" outlineLevel="0" collapsed="false">
      <c r="A25" s="37" t="s">
        <v>1055</v>
      </c>
    </row>
    <row r="26" customFormat="false" ht="13.8" hidden="false" customHeight="false" outlineLevel="0" collapsed="false">
      <c r="A26" s="4" t="s">
        <v>465</v>
      </c>
      <c r="B26" s="4" t="s">
        <v>176</v>
      </c>
      <c r="C26" s="4" t="s">
        <v>192</v>
      </c>
      <c r="D26" s="4" t="s">
        <v>180</v>
      </c>
      <c r="E26" s="4" t="s">
        <v>193</v>
      </c>
      <c r="F26" s="4" t="s">
        <v>194</v>
      </c>
      <c r="G26" s="4" t="s">
        <v>195</v>
      </c>
      <c r="H26" s="4" t="s">
        <v>340</v>
      </c>
    </row>
    <row r="27" customFormat="false" ht="13.8" hidden="false" customHeight="false" outlineLevel="0" collapsed="false">
      <c r="A27" s="4" t="s">
        <v>101</v>
      </c>
      <c r="B27" s="4" t="n">
        <v>0.3</v>
      </c>
      <c r="C27" s="4" t="n">
        <v>0.28</v>
      </c>
      <c r="D27" s="4" t="n">
        <v>0.18</v>
      </c>
      <c r="E27" s="4" t="n">
        <v>0.08</v>
      </c>
      <c r="F27" s="4" t="n">
        <v>0.1</v>
      </c>
      <c r="G27" s="4" t="n">
        <v>0.08</v>
      </c>
      <c r="H27" s="4" t="n">
        <v>1.02</v>
      </c>
    </row>
    <row r="28" customFormat="false" ht="13.8" hidden="false" customHeight="false" outlineLevel="0" collapsed="false">
      <c r="A28" s="4" t="s">
        <v>131</v>
      </c>
      <c r="B28" s="4" t="n">
        <v>0.35</v>
      </c>
      <c r="C28" s="4" t="n">
        <v>0.25</v>
      </c>
      <c r="D28" s="4" t="n">
        <v>0.15</v>
      </c>
      <c r="E28" s="4" t="n">
        <v>0.1</v>
      </c>
      <c r="F28" s="4" t="n">
        <v>0.08</v>
      </c>
      <c r="G28" s="4" t="n">
        <v>0.08</v>
      </c>
      <c r="H28" s="4" t="n">
        <v>1.01</v>
      </c>
    </row>
    <row r="29" customFormat="false" ht="13.8" hidden="false" customHeight="false" outlineLevel="0" collapsed="false">
      <c r="A29" s="4" t="s">
        <v>104</v>
      </c>
      <c r="B29" s="4" t="n">
        <v>0.4</v>
      </c>
      <c r="C29" s="4" t="n">
        <v>0.22</v>
      </c>
      <c r="D29" s="4" t="n">
        <v>0.12</v>
      </c>
      <c r="E29" s="4" t="n">
        <v>0.08</v>
      </c>
      <c r="F29" s="4" t="n">
        <v>0.1</v>
      </c>
      <c r="G29" s="4" t="n">
        <v>0.07</v>
      </c>
      <c r="H29" s="4" t="n">
        <v>0.99</v>
      </c>
    </row>
    <row r="30" customFormat="false" ht="13.8" hidden="false" customHeight="false" outlineLevel="0" collapsed="false">
      <c r="A30" s="4" t="s">
        <v>91</v>
      </c>
      <c r="B30" s="4" t="n">
        <v>0.45</v>
      </c>
      <c r="C30" s="4" t="n">
        <v>0.22</v>
      </c>
      <c r="D30" s="4" t="n">
        <v>0.12</v>
      </c>
      <c r="E30" s="4" t="n">
        <v>0.08</v>
      </c>
      <c r="F30" s="4" t="n">
        <v>0.08</v>
      </c>
      <c r="G30" s="4" t="n">
        <v>0.07</v>
      </c>
      <c r="H30" s="4" t="n">
        <v>1.02</v>
      </c>
    </row>
    <row r="31" customFormat="false" ht="13.8" hidden="false" customHeight="false" outlineLevel="0" collapsed="false">
      <c r="A31" s="4" t="s">
        <v>107</v>
      </c>
      <c r="B31" s="4" t="n">
        <v>0.4</v>
      </c>
      <c r="C31" s="4" t="n">
        <v>0.25</v>
      </c>
      <c r="D31" s="4" t="n">
        <v>0.14</v>
      </c>
      <c r="E31" s="4" t="n">
        <v>0.07</v>
      </c>
      <c r="F31" s="4" t="n">
        <v>0.09</v>
      </c>
      <c r="G31" s="4" t="n">
        <v>0.07</v>
      </c>
      <c r="H31" s="4" t="n">
        <v>1.02</v>
      </c>
    </row>
    <row r="32" customFormat="false" ht="15.8" hidden="false" customHeight="false" outlineLevel="0" collapsed="false">
      <c r="A32" s="4" t="s">
        <v>133</v>
      </c>
      <c r="B32" s="4" t="n">
        <v>0.38</v>
      </c>
      <c r="C32" s="4" t="n">
        <v>0.25</v>
      </c>
      <c r="D32" s="4" t="n">
        <v>0.13</v>
      </c>
      <c r="E32" s="4" t="n">
        <v>0.08</v>
      </c>
      <c r="F32" s="4" t="n">
        <v>0.1</v>
      </c>
      <c r="G32" s="4" t="n">
        <v>0.08</v>
      </c>
      <c r="H32" s="4" t="n">
        <v>1.02</v>
      </c>
      <c r="L32" s="37" t="s">
        <v>1056</v>
      </c>
      <c r="M32" s="4" t="s">
        <v>1035</v>
      </c>
      <c r="N32" s="4" t="s">
        <v>480</v>
      </c>
      <c r="O32" s="4" t="s">
        <v>1036</v>
      </c>
      <c r="P32" s="4" t="s">
        <v>1037</v>
      </c>
      <c r="Q32" s="4" t="s">
        <v>506</v>
      </c>
      <c r="R32" s="4" t="s">
        <v>1038</v>
      </c>
    </row>
    <row r="33" customFormat="false" ht="15.8" hidden="false" customHeight="false" outlineLevel="0" collapsed="false">
      <c r="A33" s="4" t="s">
        <v>95</v>
      </c>
      <c r="B33" s="4" t="n">
        <v>0.42</v>
      </c>
      <c r="C33" s="4" t="n">
        <v>0.22</v>
      </c>
      <c r="D33" s="4" t="n">
        <v>0.14</v>
      </c>
      <c r="E33" s="4" t="n">
        <v>0.08</v>
      </c>
      <c r="F33" s="4" t="n">
        <v>0.09</v>
      </c>
      <c r="G33" s="4" t="n">
        <v>0.07</v>
      </c>
      <c r="H33" s="4" t="n">
        <v>1.02</v>
      </c>
      <c r="L33" s="4" t="s">
        <v>465</v>
      </c>
      <c r="M33" s="4" t="s">
        <v>88</v>
      </c>
      <c r="N33" s="4" t="s">
        <v>87</v>
      </c>
      <c r="O33" s="4" t="s">
        <v>88</v>
      </c>
      <c r="P33" s="4" t="s">
        <v>88</v>
      </c>
      <c r="Q33" s="4" t="s">
        <v>88</v>
      </c>
      <c r="R33" s="4" t="s">
        <v>88</v>
      </c>
    </row>
    <row r="34" customFormat="false" ht="13.8" hidden="false" customHeight="false" outlineLevel="0" collapsed="false">
      <c r="A34" s="4" t="s">
        <v>96</v>
      </c>
      <c r="B34" s="4" t="n">
        <v>0.4</v>
      </c>
      <c r="C34" s="4" t="n">
        <v>0.22</v>
      </c>
      <c r="D34" s="4" t="n">
        <v>0.13</v>
      </c>
      <c r="E34" s="4" t="n">
        <v>0.07</v>
      </c>
      <c r="F34" s="4" t="n">
        <v>0.09</v>
      </c>
      <c r="G34" s="4" t="n">
        <v>0.08</v>
      </c>
      <c r="H34" s="4" t="n">
        <v>0.99</v>
      </c>
      <c r="L34" s="4" t="s">
        <v>176</v>
      </c>
      <c r="M34" s="13" t="n">
        <f aca="false">I15*1000</f>
        <v>1961.32596685083</v>
      </c>
      <c r="N34" s="13" t="n">
        <v>0.432916666666667</v>
      </c>
      <c r="O34" s="4" t="n">
        <f aca="false">J15*1000</f>
        <v>2965.29968454259</v>
      </c>
      <c r="P34" s="4" t="n">
        <f aca="false">K15*1000</f>
        <v>194.552529182879</v>
      </c>
      <c r="Q34" s="4" t="n">
        <f aca="false">L15*1000</f>
        <v>0</v>
      </c>
      <c r="R34" s="4" t="n">
        <f aca="false">M15*1000</f>
        <v>0</v>
      </c>
    </row>
    <row r="35" customFormat="false" ht="13.8" hidden="false" customHeight="false" outlineLevel="0" collapsed="false">
      <c r="A35" s="4" t="s">
        <v>129</v>
      </c>
      <c r="B35" s="4" t="n">
        <v>0.38</v>
      </c>
      <c r="C35" s="4" t="n">
        <v>0.2</v>
      </c>
      <c r="D35" s="4" t="n">
        <v>0.12</v>
      </c>
      <c r="E35" s="4" t="n">
        <v>0.08</v>
      </c>
      <c r="F35" s="4" t="n">
        <v>0.1</v>
      </c>
      <c r="G35" s="4" t="n">
        <v>0.1</v>
      </c>
      <c r="H35" s="4" t="n">
        <v>0.98</v>
      </c>
      <c r="L35" s="4" t="s">
        <v>192</v>
      </c>
      <c r="M35" s="13" t="n">
        <f aca="false">I16*1000</f>
        <v>1464.08839779006</v>
      </c>
      <c r="N35" s="13" t="n">
        <v>0.2125</v>
      </c>
      <c r="O35" s="4" t="n">
        <f aca="false">J16*1000</f>
        <v>1545.74132492114</v>
      </c>
      <c r="P35" s="4" t="n">
        <f aca="false">K16*1000</f>
        <v>817.120622568093</v>
      </c>
      <c r="Q35" s="4" t="n">
        <f aca="false">L16*1000</f>
        <v>700</v>
      </c>
      <c r="R35" s="4" t="n">
        <f aca="false">M16*1000</f>
        <v>833.333333333333</v>
      </c>
    </row>
    <row r="36" customFormat="false" ht="13.8" hidden="false" customHeight="false" outlineLevel="0" collapsed="false">
      <c r="A36" s="4" t="s">
        <v>102</v>
      </c>
      <c r="B36" s="4" t="n">
        <v>0.4</v>
      </c>
      <c r="C36" s="4" t="n">
        <v>0.2</v>
      </c>
      <c r="D36" s="4" t="n">
        <v>0.12</v>
      </c>
      <c r="E36" s="4" t="n">
        <v>0.08</v>
      </c>
      <c r="F36" s="4" t="n">
        <v>0.09</v>
      </c>
      <c r="G36" s="4" t="n">
        <v>0.1</v>
      </c>
      <c r="H36" s="4" t="n">
        <v>0.99</v>
      </c>
      <c r="L36" s="4" t="s">
        <v>180</v>
      </c>
      <c r="M36" s="13" t="n">
        <f aca="false">I17*1000</f>
        <v>580.110497237569</v>
      </c>
      <c r="N36" s="13" t="n">
        <v>0.132083333333333</v>
      </c>
      <c r="O36" s="4" t="n">
        <f aca="false">J17*1000</f>
        <v>599.369085173502</v>
      </c>
      <c r="P36" s="4" t="n">
        <f aca="false">K17*1000</f>
        <v>1011.67315175097</v>
      </c>
      <c r="Q36" s="4" t="n">
        <f aca="false">L17*1000</f>
        <v>300</v>
      </c>
      <c r="R36" s="4" t="n">
        <f aca="false">M17*1000</f>
        <v>333.333333333333</v>
      </c>
    </row>
    <row r="37" customFormat="false" ht="13.8" hidden="false" customHeight="false" outlineLevel="0" collapsed="false">
      <c r="A37" s="4" t="s">
        <v>1057</v>
      </c>
      <c r="B37" s="4" t="n">
        <v>0.42</v>
      </c>
      <c r="C37" s="4" t="n">
        <v>0.2</v>
      </c>
      <c r="D37" s="4" t="n">
        <v>0.12</v>
      </c>
      <c r="E37" s="4" t="n">
        <v>0.08</v>
      </c>
      <c r="F37" s="4" t="n">
        <v>0.09</v>
      </c>
      <c r="G37" s="4" t="n">
        <v>0.1</v>
      </c>
      <c r="H37" s="4" t="n">
        <v>1.01</v>
      </c>
      <c r="L37" s="4" t="s">
        <v>193</v>
      </c>
      <c r="M37" s="13" t="n">
        <f aca="false">I18*1000</f>
        <v>386.740331491713</v>
      </c>
      <c r="N37" s="13" t="n">
        <v>0.105833333333333</v>
      </c>
      <c r="O37" s="4" t="n">
        <f aca="false">J18*1000</f>
        <v>220.820189274448</v>
      </c>
      <c r="P37" s="4" t="n">
        <f aca="false">K18*1000</f>
        <v>389.105058365759</v>
      </c>
      <c r="Q37" s="4" t="n">
        <f aca="false">L18*1000</f>
        <v>200</v>
      </c>
      <c r="R37" s="4" t="n">
        <f aca="false">M18*1000</f>
        <v>166.666666666667</v>
      </c>
    </row>
    <row r="38" customFormat="false" ht="13.8" hidden="false" customHeight="false" outlineLevel="0" collapsed="false">
      <c r="A38" s="4" t="s">
        <v>103</v>
      </c>
      <c r="B38" s="4" t="n">
        <v>0.35</v>
      </c>
      <c r="C38" s="4" t="n">
        <v>0.25</v>
      </c>
      <c r="D38" s="4" t="n">
        <v>0.15</v>
      </c>
      <c r="E38" s="4" t="n">
        <v>0.07</v>
      </c>
      <c r="F38" s="4" t="n">
        <v>0.1</v>
      </c>
      <c r="G38" s="4" t="n">
        <v>0.08</v>
      </c>
      <c r="H38" s="4" t="n">
        <v>1</v>
      </c>
      <c r="L38" s="4" t="s">
        <v>194</v>
      </c>
      <c r="M38" s="13" t="n">
        <f aca="false">I19*1000</f>
        <v>580.110497237569</v>
      </c>
      <c r="N38" s="13" t="n">
        <v>0.095</v>
      </c>
      <c r="O38" s="4" t="n">
        <f aca="false">J19*1000</f>
        <v>536.277602523659</v>
      </c>
      <c r="P38" s="4" t="n">
        <f aca="false">K19*1000</f>
        <v>350.194552529183</v>
      </c>
      <c r="Q38" s="4" t="n">
        <f aca="false">L19*1000</f>
        <v>300</v>
      </c>
      <c r="R38" s="4" t="n">
        <f aca="false">M19*1000</f>
        <v>166.666666666667</v>
      </c>
    </row>
    <row r="39" customFormat="false" ht="13.8" hidden="false" customHeight="false" outlineLevel="0" collapsed="false">
      <c r="A39" s="4" t="s">
        <v>127</v>
      </c>
      <c r="B39" s="4" t="n">
        <v>0.45</v>
      </c>
      <c r="C39" s="4" t="n">
        <v>0.2</v>
      </c>
      <c r="D39" s="4" t="n">
        <v>0.12</v>
      </c>
      <c r="E39" s="4" t="n">
        <v>0.08</v>
      </c>
      <c r="F39" s="4" t="n">
        <v>0.09</v>
      </c>
      <c r="G39" s="4" t="n">
        <v>0.1</v>
      </c>
      <c r="H39" s="4" t="n">
        <v>1.04</v>
      </c>
      <c r="L39" s="4" t="s">
        <v>195</v>
      </c>
      <c r="M39" s="13" t="n">
        <f aca="false">I20*1000</f>
        <v>414.364640883978</v>
      </c>
      <c r="N39" s="13" t="n">
        <v>0.11375</v>
      </c>
      <c r="O39" s="4" t="n">
        <f aca="false">J20*1000</f>
        <v>189.274447949527</v>
      </c>
      <c r="P39" s="4" t="n">
        <f aca="false">K20*1000</f>
        <v>233.463035019455</v>
      </c>
      <c r="Q39" s="4" t="n">
        <f aca="false">L20*1000</f>
        <v>300</v>
      </c>
      <c r="R39" s="4" t="n">
        <f aca="false">M20*1000</f>
        <v>333.333333333333</v>
      </c>
    </row>
    <row r="40" customFormat="false" ht="13.8" hidden="false" customHeight="false" outlineLevel="0" collapsed="false">
      <c r="A40" s="4" t="s">
        <v>115</v>
      </c>
      <c r="B40" s="4" t="n">
        <v>0.42</v>
      </c>
      <c r="C40" s="4" t="n">
        <v>0.22</v>
      </c>
      <c r="D40" s="4" t="n">
        <v>0.13</v>
      </c>
      <c r="E40" s="4" t="n">
        <v>0.1</v>
      </c>
      <c r="F40" s="4" t="n">
        <v>0.09</v>
      </c>
      <c r="G40" s="4" t="n">
        <v>0.1</v>
      </c>
      <c r="H40" s="4" t="n">
        <v>1.06</v>
      </c>
      <c r="L40" s="4" t="s">
        <v>340</v>
      </c>
      <c r="M40" s="13" t="n">
        <f aca="false">I21*1000</f>
        <v>5386.74033149171</v>
      </c>
      <c r="N40" s="13" t="n">
        <v>1.09208333333333</v>
      </c>
      <c r="O40" s="4" t="n">
        <f aca="false">J21*1000</f>
        <v>6056.78233438486</v>
      </c>
      <c r="P40" s="4" t="n">
        <f aca="false">K21*1000</f>
        <v>2996.10894941634</v>
      </c>
      <c r="Q40" s="4" t="n">
        <f aca="false">L21*1000</f>
        <v>1800</v>
      </c>
      <c r="R40" s="4" t="n">
        <f aca="false">M21*1000</f>
        <v>1833.33333333333</v>
      </c>
    </row>
    <row r="41" customFormat="false" ht="13.8" hidden="false" customHeight="false" outlineLevel="0" collapsed="false">
      <c r="A41" s="4" t="s">
        <v>1058</v>
      </c>
      <c r="B41" s="4" t="n">
        <v>0.4</v>
      </c>
      <c r="C41" s="4" t="n">
        <v>0.22</v>
      </c>
      <c r="D41" s="4" t="n">
        <v>0.14</v>
      </c>
      <c r="E41" s="4" t="n">
        <v>0.1</v>
      </c>
      <c r="F41" s="4" t="n">
        <v>0.1</v>
      </c>
      <c r="G41" s="4" t="n">
        <v>0.12</v>
      </c>
      <c r="H41" s="4" t="n">
        <v>1.08</v>
      </c>
    </row>
    <row r="42" customFormat="false" ht="13.8" hidden="false" customHeight="false" outlineLevel="0" collapsed="false">
      <c r="A42" s="4" t="s">
        <v>110</v>
      </c>
      <c r="B42" s="4" t="n">
        <v>0.42</v>
      </c>
      <c r="C42" s="4" t="n">
        <v>0.2</v>
      </c>
      <c r="D42" s="4" t="n">
        <v>0.13</v>
      </c>
      <c r="E42" s="4" t="n">
        <v>0.09</v>
      </c>
      <c r="F42" s="4" t="n">
        <v>0.1</v>
      </c>
      <c r="G42" s="4" t="n">
        <v>0.12</v>
      </c>
      <c r="H42" s="4" t="n">
        <v>1.06</v>
      </c>
    </row>
    <row r="43" customFormat="false" ht="13.8" hidden="false" customHeight="false" outlineLevel="0" collapsed="false">
      <c r="A43" s="4" t="s">
        <v>1059</v>
      </c>
      <c r="B43" s="4" t="n">
        <v>0.45</v>
      </c>
      <c r="C43" s="4" t="n">
        <v>0.18</v>
      </c>
      <c r="D43" s="4" t="n">
        <v>0.12</v>
      </c>
      <c r="E43" s="4" t="n">
        <v>0.1</v>
      </c>
      <c r="F43" s="4" t="n">
        <v>0.1</v>
      </c>
      <c r="G43" s="4" t="n">
        <v>0.13</v>
      </c>
      <c r="H43" s="4" t="n">
        <v>1.08</v>
      </c>
    </row>
    <row r="44" customFormat="false" ht="13.8" hidden="false" customHeight="false" outlineLevel="0" collapsed="false">
      <c r="A44" s="4" t="s">
        <v>1060</v>
      </c>
      <c r="B44" s="4" t="n">
        <v>0.48</v>
      </c>
      <c r="C44" s="4" t="n">
        <v>0.18</v>
      </c>
      <c r="D44" s="4" t="n">
        <v>0.12</v>
      </c>
      <c r="E44" s="4" t="n">
        <v>0.1</v>
      </c>
      <c r="F44" s="4" t="n">
        <v>0.1</v>
      </c>
      <c r="G44" s="4" t="n">
        <v>0.14</v>
      </c>
      <c r="H44" s="4" t="n">
        <v>1.12</v>
      </c>
    </row>
    <row r="45" customFormat="false" ht="13.8" hidden="false" customHeight="false" outlineLevel="0" collapsed="false">
      <c r="A45" s="4" t="s">
        <v>135</v>
      </c>
      <c r="B45" s="4" t="n">
        <v>0.5</v>
      </c>
      <c r="C45" s="4" t="n">
        <v>0.18</v>
      </c>
      <c r="D45" s="4" t="n">
        <v>0.12</v>
      </c>
      <c r="E45" s="4" t="n">
        <v>0.12</v>
      </c>
      <c r="F45" s="4" t="n">
        <v>0.1</v>
      </c>
      <c r="G45" s="4" t="n">
        <v>0.15</v>
      </c>
      <c r="H45" s="4" t="n">
        <v>1.17</v>
      </c>
    </row>
    <row r="46" customFormat="false" ht="13.8" hidden="false" customHeight="false" outlineLevel="0" collapsed="false">
      <c r="A46" s="4" t="s">
        <v>1061</v>
      </c>
      <c r="B46" s="4" t="n">
        <v>0.5</v>
      </c>
      <c r="C46" s="4" t="n">
        <v>0.18</v>
      </c>
      <c r="D46" s="4" t="n">
        <v>0.13</v>
      </c>
      <c r="E46" s="4" t="n">
        <v>0.15</v>
      </c>
      <c r="F46" s="4" t="n">
        <v>0.1</v>
      </c>
      <c r="G46" s="4" t="n">
        <v>0.17</v>
      </c>
      <c r="H46" s="4" t="n">
        <v>1.23</v>
      </c>
    </row>
    <row r="47" customFormat="false" ht="13.8" hidden="false" customHeight="false" outlineLevel="0" collapsed="false">
      <c r="A47" s="4" t="s">
        <v>119</v>
      </c>
      <c r="B47" s="4" t="n">
        <v>0.45</v>
      </c>
      <c r="C47" s="4" t="n">
        <v>0.22</v>
      </c>
      <c r="D47" s="4" t="n">
        <v>0.12</v>
      </c>
      <c r="E47" s="4" t="n">
        <v>0.1</v>
      </c>
      <c r="F47" s="4" t="n">
        <v>0.09</v>
      </c>
      <c r="G47" s="4" t="n">
        <v>0.1</v>
      </c>
      <c r="H47" s="4" t="n">
        <v>1.08</v>
      </c>
    </row>
    <row r="48" customFormat="false" ht="13.8" hidden="false" customHeight="false" outlineLevel="0" collapsed="false">
      <c r="A48" s="4" t="s">
        <v>125</v>
      </c>
      <c r="B48" s="4" t="n">
        <v>0.52</v>
      </c>
      <c r="C48" s="4" t="n">
        <v>0.2</v>
      </c>
      <c r="D48" s="4" t="n">
        <v>0.13</v>
      </c>
      <c r="E48" s="4" t="n">
        <v>0.15</v>
      </c>
      <c r="F48" s="4" t="n">
        <v>0.1</v>
      </c>
      <c r="G48" s="4" t="n">
        <v>0.18</v>
      </c>
      <c r="H48" s="4" t="n">
        <v>1.28</v>
      </c>
    </row>
    <row r="49" customFormat="false" ht="13.8" hidden="false" customHeight="false" outlineLevel="0" collapsed="false">
      <c r="A49" s="4" t="s">
        <v>112</v>
      </c>
      <c r="B49" s="4" t="n">
        <v>0.55</v>
      </c>
      <c r="C49" s="4" t="n">
        <v>0.18</v>
      </c>
      <c r="D49" s="4" t="n">
        <v>0.14</v>
      </c>
      <c r="E49" s="4" t="n">
        <v>0.2</v>
      </c>
      <c r="F49" s="4" t="n">
        <v>0.1</v>
      </c>
      <c r="G49" s="4" t="n">
        <v>0.22</v>
      </c>
      <c r="H49" s="4" t="n">
        <v>1.39</v>
      </c>
    </row>
    <row r="50" customFormat="false" ht="13.8" hidden="false" customHeight="false" outlineLevel="0" collapsed="false">
      <c r="A50" s="4" t="s">
        <v>108</v>
      </c>
      <c r="B50" s="4" t="n">
        <v>0.6</v>
      </c>
      <c r="C50" s="4" t="n">
        <v>0.18</v>
      </c>
      <c r="D50" s="4" t="n">
        <v>0.15</v>
      </c>
      <c r="E50" s="4" t="n">
        <v>0.3</v>
      </c>
      <c r="F50" s="4" t="n">
        <v>0.1</v>
      </c>
      <c r="G50" s="4" t="n">
        <v>0.22</v>
      </c>
      <c r="H50" s="4" t="n">
        <v>1.55</v>
      </c>
    </row>
    <row r="51" customFormat="false" ht="13.8" hidden="false" customHeight="false" outlineLevel="0" collapsed="false">
      <c r="A51" s="4" t="s">
        <v>190</v>
      </c>
      <c r="B51" s="4" t="n">
        <f aca="false">AVERAGE(B27:B50)</f>
        <v>0.432916666666667</v>
      </c>
      <c r="C51" s="4" t="n">
        <f aca="false">AVERAGE(C27:C50)</f>
        <v>0.2125</v>
      </c>
      <c r="D51" s="4" t="n">
        <f aca="false">AVERAGE(D27:D50)</f>
        <v>0.132083333333333</v>
      </c>
      <c r="E51" s="4" t="n">
        <f aca="false">AVERAGE(E27:E50)</f>
        <v>0.105833333333333</v>
      </c>
      <c r="F51" s="4" t="n">
        <f aca="false">AVERAGE(F27:F50)</f>
        <v>0.095</v>
      </c>
      <c r="G51" s="4" t="n">
        <f aca="false">AVERAGE(G27:G50)</f>
        <v>0.11375</v>
      </c>
      <c r="H51" s="4" t="n">
        <f aca="false">AVERAGE(H27:H50)</f>
        <v>1.09208333333333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35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 ySplit="1" topLeftCell="B104" activePane="bottomRight" state="frozen"/>
      <selection pane="topLeft" activeCell="A1" activeCellId="0" sqref="A1"/>
      <selection pane="topRight" activeCell="B1" activeCellId="0" sqref="B1"/>
      <selection pane="bottomLeft" activeCell="A104" activeCellId="0" sqref="A104"/>
      <selection pane="bottomRight" activeCell="A302" activeCellId="0" sqref="A302"/>
    </sheetView>
  </sheetViews>
  <sheetFormatPr defaultColWidth="11.53515625" defaultRowHeight="13.8" zeroHeight="false" outlineLevelRow="0" outlineLevelCol="0"/>
  <cols>
    <col collapsed="false" customWidth="false" hidden="false" outlineLevel="0" max="8" min="1" style="15" width="11.53"/>
    <col collapsed="false" customWidth="false" hidden="false" outlineLevel="0" max="10" min="9" style="16" width="11.53"/>
    <col collapsed="false" customWidth="false" hidden="false" outlineLevel="0" max="11" min="11" style="15" width="11.53"/>
    <col collapsed="false" customWidth="true" hidden="false" outlineLevel="0" max="12" min="12" style="16" width="14.83"/>
    <col collapsed="false" customWidth="true" hidden="false" outlineLevel="0" max="13" min="13" style="16" width="15.67"/>
    <col collapsed="false" customWidth="true" hidden="false" outlineLevel="0" max="14" min="14" style="15" width="22.01"/>
    <col collapsed="false" customWidth="false" hidden="false" outlineLevel="0" max="16384" min="15" style="15" width="11.53"/>
  </cols>
  <sheetData>
    <row r="1" customFormat="false" ht="36.15" hidden="false" customHeight="false" outlineLevel="0" collapsed="false">
      <c r="A1" s="15" t="s">
        <v>86</v>
      </c>
      <c r="B1" s="15" t="s">
        <v>1062</v>
      </c>
      <c r="C1" s="15" t="s">
        <v>1063</v>
      </c>
      <c r="D1" s="15" t="s">
        <v>465</v>
      </c>
      <c r="E1" s="15" t="s">
        <v>1064</v>
      </c>
      <c r="F1" s="15" t="s">
        <v>1065</v>
      </c>
      <c r="G1" s="15" t="s">
        <v>1066</v>
      </c>
      <c r="H1" s="15" t="s">
        <v>1067</v>
      </c>
      <c r="I1" s="55" t="s">
        <v>1068</v>
      </c>
      <c r="J1" s="55" t="s">
        <v>1069</v>
      </c>
      <c r="K1" s="15" t="s">
        <v>1070</v>
      </c>
      <c r="L1" s="55" t="s">
        <v>1071</v>
      </c>
      <c r="M1" s="55" t="s">
        <v>1072</v>
      </c>
      <c r="N1" s="15" t="s">
        <v>1070</v>
      </c>
      <c r="O1" s="15" t="s">
        <v>1073</v>
      </c>
      <c r="P1" s="15" t="s">
        <v>1074</v>
      </c>
      <c r="Q1" s="15" t="s">
        <v>1075</v>
      </c>
      <c r="R1" s="15" t="s">
        <v>1076</v>
      </c>
      <c r="S1" s="15" t="s">
        <v>1075</v>
      </c>
      <c r="T1" s="15" t="s">
        <v>1077</v>
      </c>
      <c r="U1" s="15" t="s">
        <v>1078</v>
      </c>
      <c r="V1" s="15" t="s">
        <v>1079</v>
      </c>
      <c r="W1" s="15" t="s">
        <v>1080</v>
      </c>
      <c r="X1" s="15" t="s">
        <v>1070</v>
      </c>
      <c r="Y1" s="56" t="s">
        <v>1081</v>
      </c>
    </row>
    <row r="2" customFormat="false" ht="13.8" hidden="false" customHeight="false" outlineLevel="0" collapsed="false">
      <c r="A2" s="15" t="s">
        <v>1082</v>
      </c>
      <c r="B2" s="15" t="s">
        <v>1083</v>
      </c>
      <c r="C2" s="15" t="n">
        <v>2012</v>
      </c>
      <c r="D2" s="15" t="s">
        <v>1084</v>
      </c>
      <c r="E2" s="15" t="s">
        <v>1085</v>
      </c>
      <c r="F2" s="15" t="s">
        <v>1086</v>
      </c>
      <c r="H2" s="15" t="s">
        <v>403</v>
      </c>
      <c r="I2" s="16" t="n">
        <v>0.132</v>
      </c>
      <c r="J2" s="16" t="n">
        <v>0.086</v>
      </c>
      <c r="K2" s="15" t="s">
        <v>1087</v>
      </c>
      <c r="L2" s="16" t="n">
        <v>1775.4450492066</v>
      </c>
      <c r="M2" s="16" t="n">
        <v>1349.51899201829</v>
      </c>
      <c r="N2" s="15" t="s">
        <v>1088</v>
      </c>
      <c r="P2" s="15" t="n">
        <v>-0.348484848484849</v>
      </c>
      <c r="Q2" s="15" t="s">
        <v>1089</v>
      </c>
      <c r="R2" s="15" t="n">
        <v>-0.239898191937081</v>
      </c>
      <c r="S2" s="15" t="s">
        <v>1089</v>
      </c>
      <c r="T2" s="15" t="s">
        <v>1090</v>
      </c>
      <c r="U2" s="15" t="s">
        <v>1091</v>
      </c>
      <c r="V2" s="15" t="n">
        <v>13450.3412818682</v>
      </c>
      <c r="W2" s="15" t="n">
        <v>15692.0813025383</v>
      </c>
      <c r="X2" s="15" t="s">
        <v>1092</v>
      </c>
      <c r="Y2" s="15" t="n">
        <v>0.166667891445411</v>
      </c>
    </row>
    <row r="3" customFormat="false" ht="13.8" hidden="false" customHeight="false" outlineLevel="0" collapsed="false">
      <c r="A3" s="15" t="s">
        <v>1093</v>
      </c>
      <c r="B3" s="15" t="s">
        <v>1083</v>
      </c>
      <c r="C3" s="15" t="n">
        <v>2017</v>
      </c>
      <c r="D3" s="15" t="s">
        <v>1084</v>
      </c>
      <c r="E3" s="15" t="s">
        <v>1094</v>
      </c>
      <c r="F3" s="15" t="s">
        <v>766</v>
      </c>
      <c r="H3" s="15" t="s">
        <v>403</v>
      </c>
      <c r="I3" s="16" t="n">
        <v>2.479</v>
      </c>
      <c r="J3" s="16" t="n">
        <v>3.771</v>
      </c>
      <c r="K3" s="15" t="s">
        <v>1087</v>
      </c>
      <c r="L3" s="16" t="n">
        <v>5557.21225381717</v>
      </c>
      <c r="M3" s="16" t="n">
        <v>6762.88129435763</v>
      </c>
      <c r="N3" s="15" t="s">
        <v>1095</v>
      </c>
      <c r="P3" s="15" t="n">
        <v>0.521177894312223</v>
      </c>
      <c r="Q3" s="15" t="s">
        <v>1089</v>
      </c>
      <c r="R3" s="15" t="n">
        <v>0.216955729864789</v>
      </c>
      <c r="S3" s="15" t="s">
        <v>1089</v>
      </c>
      <c r="T3" s="15" t="s">
        <v>1090</v>
      </c>
      <c r="U3" s="15" t="s">
        <v>1091</v>
      </c>
      <c r="V3" s="15" t="n">
        <v>2241.71531013198</v>
      </c>
      <c r="W3" s="15" t="n">
        <v>1793.3920165361</v>
      </c>
      <c r="X3" s="15" t="s">
        <v>1092</v>
      </c>
      <c r="Y3" s="15" t="n">
        <v>-0.199991181560643</v>
      </c>
    </row>
    <row r="4" customFormat="false" ht="13.8" hidden="false" customHeight="false" outlineLevel="0" collapsed="false">
      <c r="A4" s="15" t="s">
        <v>1093</v>
      </c>
      <c r="B4" s="15" t="s">
        <v>1083</v>
      </c>
      <c r="C4" s="15" t="n">
        <v>2013</v>
      </c>
      <c r="D4" s="15" t="s">
        <v>1084</v>
      </c>
      <c r="E4" s="15" t="s">
        <v>1096</v>
      </c>
      <c r="F4" s="15" t="s">
        <v>1086</v>
      </c>
      <c r="H4" s="15" t="s">
        <v>403</v>
      </c>
      <c r="I4" s="16" t="n">
        <v>0.188</v>
      </c>
      <c r="J4" s="16" t="n">
        <v>0.267</v>
      </c>
      <c r="K4" s="15" t="s">
        <v>1087</v>
      </c>
      <c r="L4" s="16" t="n">
        <v>1896.49812074341</v>
      </c>
      <c r="M4" s="16" t="n">
        <v>4189.78570777772</v>
      </c>
      <c r="N4" s="15" t="s">
        <v>1095</v>
      </c>
      <c r="O4" s="15" t="s">
        <v>1097</v>
      </c>
      <c r="P4" s="15" t="n">
        <v>0.420212765957447</v>
      </c>
      <c r="Q4" s="15" t="s">
        <v>1089</v>
      </c>
      <c r="R4" s="15" t="n">
        <v>1.2092221774179</v>
      </c>
      <c r="S4" s="15" t="s">
        <v>1089</v>
      </c>
      <c r="T4" s="15" t="s">
        <v>1090</v>
      </c>
      <c r="U4" s="15" t="s">
        <v>1091</v>
      </c>
      <c r="V4" s="15" t="n">
        <v>10087.7559614011</v>
      </c>
      <c r="W4" s="15" t="n">
        <v>15692.0813025383</v>
      </c>
      <c r="X4" s="15" t="s">
        <v>1092</v>
      </c>
      <c r="Y4" s="15" t="n">
        <v>0.55555718859388</v>
      </c>
    </row>
    <row r="5" customFormat="false" ht="13.8" hidden="false" customHeight="false" outlineLevel="0" collapsed="false">
      <c r="A5" s="15" t="s">
        <v>1093</v>
      </c>
      <c r="B5" s="15" t="s">
        <v>1083</v>
      </c>
      <c r="C5" s="15" t="n">
        <v>2014</v>
      </c>
      <c r="D5" s="15" t="s">
        <v>1084</v>
      </c>
      <c r="E5" s="15" t="s">
        <v>1098</v>
      </c>
      <c r="F5" s="15" t="s">
        <v>1086</v>
      </c>
      <c r="H5" s="15" t="s">
        <v>403</v>
      </c>
      <c r="I5" s="16" t="n">
        <v>0.108</v>
      </c>
      <c r="J5" s="16" t="n">
        <v>0.176</v>
      </c>
      <c r="K5" s="15" t="s">
        <v>1087</v>
      </c>
      <c r="L5" s="16" t="n">
        <v>5031.27323403407</v>
      </c>
      <c r="M5" s="16" t="n">
        <v>2959.07943106571</v>
      </c>
      <c r="N5" s="15" t="s">
        <v>1095</v>
      </c>
      <c r="O5" s="15" t="s">
        <v>1099</v>
      </c>
      <c r="P5" s="15" t="n">
        <v>0.62962962962963</v>
      </c>
      <c r="Q5" s="15" t="s">
        <v>1089</v>
      </c>
      <c r="R5" s="15" t="n">
        <v>-0.411862704841987</v>
      </c>
      <c r="S5" s="15" t="s">
        <v>1089</v>
      </c>
      <c r="T5" s="15" t="s">
        <v>1090</v>
      </c>
      <c r="U5" s="15" t="s">
        <v>1091</v>
      </c>
      <c r="V5" s="15" t="n">
        <v>46585.8632780933</v>
      </c>
      <c r="W5" s="15" t="n">
        <v>16812.9513128733</v>
      </c>
      <c r="X5" s="15" t="s">
        <v>1092</v>
      </c>
      <c r="Y5" s="15" t="n">
        <v>-0.63909756888031</v>
      </c>
    </row>
    <row r="6" customFormat="false" ht="13.8" hidden="true" customHeight="false" outlineLevel="0" collapsed="false">
      <c r="A6" s="15" t="s">
        <v>1093</v>
      </c>
      <c r="B6" s="15" t="s">
        <v>1100</v>
      </c>
      <c r="C6" s="15" t="n">
        <v>2012</v>
      </c>
      <c r="D6" s="15" t="s">
        <v>1059</v>
      </c>
      <c r="E6" s="15" t="s">
        <v>1101</v>
      </c>
      <c r="F6" s="15" t="s">
        <v>1086</v>
      </c>
      <c r="H6" s="15" t="s">
        <v>1102</v>
      </c>
      <c r="I6" s="16" t="n">
        <v>26349.8064516129</v>
      </c>
      <c r="J6" s="16" t="n">
        <v>19883.1</v>
      </c>
      <c r="K6" s="15" t="s">
        <v>1103</v>
      </c>
      <c r="L6" s="16" t="n">
        <v>245053.2</v>
      </c>
      <c r="M6" s="16" t="n">
        <v>139181.7</v>
      </c>
      <c r="N6" s="15" t="s">
        <v>1104</v>
      </c>
      <c r="O6" s="15" t="s">
        <v>1105</v>
      </c>
      <c r="P6" s="15" t="n">
        <v>-0.245417607278746</v>
      </c>
      <c r="Q6" s="15" t="s">
        <v>1089</v>
      </c>
      <c r="R6" s="15" t="n">
        <v>-0.432034758166798</v>
      </c>
      <c r="S6" s="15" t="s">
        <v>1106</v>
      </c>
      <c r="T6" s="15" t="s">
        <v>1090</v>
      </c>
      <c r="U6" s="15" t="s">
        <v>1107</v>
      </c>
      <c r="V6" s="15" t="n">
        <v>9.3</v>
      </c>
      <c r="W6" s="15" t="n">
        <v>7</v>
      </c>
      <c r="X6" s="15" t="s">
        <v>1108</v>
      </c>
      <c r="Y6" s="15" t="n">
        <v>-0.247311827956989</v>
      </c>
    </row>
    <row r="7" customFormat="false" ht="13.8" hidden="true" customHeight="false" outlineLevel="0" collapsed="false">
      <c r="A7" s="15" t="s">
        <v>1082</v>
      </c>
      <c r="B7" s="15" t="s">
        <v>1109</v>
      </c>
      <c r="C7" s="15" t="n">
        <v>2013</v>
      </c>
      <c r="D7" s="15" t="s">
        <v>1059</v>
      </c>
      <c r="E7" s="15" t="s">
        <v>1110</v>
      </c>
      <c r="F7" s="15" t="s">
        <v>1111</v>
      </c>
      <c r="H7" s="15" t="s">
        <v>1112</v>
      </c>
      <c r="I7" s="16" t="n">
        <v>0.000732</v>
      </c>
      <c r="J7" s="16" t="n">
        <v>0.000532</v>
      </c>
      <c r="K7" s="15" t="s">
        <v>1113</v>
      </c>
      <c r="L7" s="16" t="n">
        <v>2.04961639693118</v>
      </c>
      <c r="M7" s="16" t="n">
        <v>1.6651538389308</v>
      </c>
      <c r="N7" s="15" t="s">
        <v>1114</v>
      </c>
      <c r="P7" s="15" t="n">
        <v>-0.273224043715847</v>
      </c>
      <c r="Q7" s="15" t="s">
        <v>1089</v>
      </c>
      <c r="R7" s="15" t="n">
        <v>-0.187577811426579</v>
      </c>
      <c r="S7" s="15" t="s">
        <v>1089</v>
      </c>
      <c r="T7" s="15" t="s">
        <v>1090</v>
      </c>
      <c r="U7" s="15" t="s">
        <v>1115</v>
      </c>
      <c r="V7" s="15" t="n">
        <v>2800.0224001792</v>
      </c>
      <c r="W7" s="15" t="n">
        <v>3129.98841904285</v>
      </c>
      <c r="X7" s="15" t="s">
        <v>1092</v>
      </c>
      <c r="Y7" s="15" t="n">
        <v>0.117844063976963</v>
      </c>
    </row>
    <row r="8" customFormat="false" ht="13.8" hidden="false" customHeight="false" outlineLevel="0" collapsed="false">
      <c r="A8" s="15" t="s">
        <v>1082</v>
      </c>
      <c r="B8" s="15" t="s">
        <v>1109</v>
      </c>
      <c r="C8" s="15" t="n">
        <v>2013</v>
      </c>
      <c r="D8" s="15" t="s">
        <v>1059</v>
      </c>
      <c r="E8" s="15" t="s">
        <v>1110</v>
      </c>
      <c r="F8" s="15" t="s">
        <v>1111</v>
      </c>
      <c r="H8" s="15" t="s">
        <v>403</v>
      </c>
      <c r="I8" s="16" t="n">
        <v>0.247</v>
      </c>
      <c r="J8" s="16" t="n">
        <v>0.303</v>
      </c>
      <c r="K8" s="57" t="s">
        <v>1116</v>
      </c>
      <c r="L8" s="16" t="n">
        <v>691.605532844263</v>
      </c>
      <c r="M8" s="16" t="n">
        <v>948.386490969983</v>
      </c>
      <c r="N8" s="57" t="s">
        <v>1117</v>
      </c>
      <c r="P8" s="15" t="n">
        <v>0.226720647773279</v>
      </c>
      <c r="Q8" s="15" t="s">
        <v>1089</v>
      </c>
      <c r="R8" s="15" t="n">
        <v>0.371282394271335</v>
      </c>
      <c r="S8" s="15" t="s">
        <v>1089</v>
      </c>
      <c r="T8" s="15" t="s">
        <v>1090</v>
      </c>
      <c r="U8" s="15" t="s">
        <v>1115</v>
      </c>
      <c r="V8" s="15" t="n">
        <v>2800.0224001792</v>
      </c>
      <c r="W8" s="15" t="n">
        <v>3129.98841904285</v>
      </c>
      <c r="X8" s="15" t="s">
        <v>1092</v>
      </c>
      <c r="Y8" s="15" t="n">
        <v>0.117844063976963</v>
      </c>
    </row>
    <row r="9" customFormat="false" ht="13.8" hidden="true" customHeight="false" outlineLevel="0" collapsed="false">
      <c r="A9" s="15" t="s">
        <v>1082</v>
      </c>
      <c r="B9" s="15" t="s">
        <v>1109</v>
      </c>
      <c r="C9" s="15" t="n">
        <v>2013</v>
      </c>
      <c r="D9" s="15" t="s">
        <v>1059</v>
      </c>
      <c r="E9" s="15" t="s">
        <v>1110</v>
      </c>
      <c r="F9" s="15" t="s">
        <v>1111</v>
      </c>
      <c r="H9" s="15" t="s">
        <v>1118</v>
      </c>
      <c r="I9" s="16" t="n">
        <v>4.74E-009</v>
      </c>
      <c r="J9" s="16" t="n">
        <v>5.24E-009</v>
      </c>
      <c r="K9" s="15" t="s">
        <v>1119</v>
      </c>
      <c r="L9" s="16" t="n">
        <v>1.32721061768494E-005</v>
      </c>
      <c r="M9" s="16" t="n">
        <v>1.64011393157845E-005</v>
      </c>
      <c r="N9" s="15" t="s">
        <v>1120</v>
      </c>
      <c r="P9" s="15" t="n">
        <v>0.105485232067511</v>
      </c>
      <c r="Q9" s="15" t="s">
        <v>1089</v>
      </c>
      <c r="R9" s="15" t="n">
        <v>0.235760104480862</v>
      </c>
      <c r="S9" s="15" t="s">
        <v>1089</v>
      </c>
      <c r="T9" s="15" t="s">
        <v>1090</v>
      </c>
      <c r="U9" s="15" t="s">
        <v>1115</v>
      </c>
      <c r="V9" s="15" t="n">
        <v>2800.0224001792</v>
      </c>
      <c r="W9" s="15" t="n">
        <v>3129.98841904285</v>
      </c>
      <c r="X9" s="15" t="s">
        <v>1092</v>
      </c>
      <c r="Y9" s="15" t="n">
        <v>0.117844063976963</v>
      </c>
    </row>
    <row r="10" customFormat="false" ht="13.8" hidden="true" customHeight="false" outlineLevel="0" collapsed="false">
      <c r="A10" s="15" t="s">
        <v>1082</v>
      </c>
      <c r="B10" s="15" t="s">
        <v>1109</v>
      </c>
      <c r="C10" s="15" t="n">
        <v>2013</v>
      </c>
      <c r="D10" s="15" t="s">
        <v>1059</v>
      </c>
      <c r="E10" s="15" t="s">
        <v>1110</v>
      </c>
      <c r="F10" s="15" t="s">
        <v>1111</v>
      </c>
      <c r="H10" s="15" t="s">
        <v>1121</v>
      </c>
      <c r="I10" s="16" t="n">
        <v>0.00994</v>
      </c>
      <c r="J10" s="16" t="n">
        <v>0.00979</v>
      </c>
      <c r="K10" s="15" t="s">
        <v>1122</v>
      </c>
      <c r="L10" s="16" t="n">
        <v>27.8322226577813</v>
      </c>
      <c r="M10" s="16" t="n">
        <v>30.6425866224295</v>
      </c>
      <c r="N10" s="15" t="s">
        <v>1123</v>
      </c>
      <c r="P10" s="15" t="n">
        <v>-0.0150905432595573</v>
      </c>
      <c r="Q10" s="15" t="s">
        <v>1089</v>
      </c>
      <c r="R10" s="15" t="n">
        <v>0.100975189772079</v>
      </c>
      <c r="S10" s="15" t="s">
        <v>1089</v>
      </c>
      <c r="T10" s="15" t="s">
        <v>1090</v>
      </c>
      <c r="U10" s="15" t="s">
        <v>1115</v>
      </c>
      <c r="V10" s="15" t="n">
        <v>2800.0224001792</v>
      </c>
      <c r="W10" s="15" t="n">
        <v>3129.98841904285</v>
      </c>
      <c r="X10" s="15" t="s">
        <v>1092</v>
      </c>
      <c r="Y10" s="15" t="n">
        <v>0.117844063976963</v>
      </c>
    </row>
    <row r="11" customFormat="false" ht="13.8" hidden="true" customHeight="false" outlineLevel="0" collapsed="false">
      <c r="A11" s="15" t="s">
        <v>1082</v>
      </c>
      <c r="B11" s="15" t="s">
        <v>1109</v>
      </c>
      <c r="C11" s="15" t="n">
        <v>2013</v>
      </c>
      <c r="D11" s="15" t="s">
        <v>1059</v>
      </c>
      <c r="E11" s="15" t="s">
        <v>1110</v>
      </c>
      <c r="F11" s="15" t="s">
        <v>1111</v>
      </c>
      <c r="H11" s="15" t="s">
        <v>1124</v>
      </c>
      <c r="I11" s="16" t="n">
        <v>-0.0001</v>
      </c>
      <c r="J11" s="16" t="n">
        <v>-0.000668</v>
      </c>
      <c r="K11" s="15" t="s">
        <v>1122</v>
      </c>
      <c r="L11" s="16" t="n">
        <v>-0.28000224001792</v>
      </c>
      <c r="M11" s="16" t="n">
        <v>-2.09083226392062</v>
      </c>
      <c r="N11" s="15" t="s">
        <v>1123</v>
      </c>
      <c r="P11" s="15" t="n">
        <v>-0.000568056805680617</v>
      </c>
      <c r="Q11" s="15" t="s">
        <v>1089</v>
      </c>
      <c r="R11" s="15" t="n">
        <v>-2.51504952452598</v>
      </c>
      <c r="S11" s="15" t="s">
        <v>1089</v>
      </c>
      <c r="T11" s="15" t="s">
        <v>1090</v>
      </c>
      <c r="U11" s="15" t="s">
        <v>1115</v>
      </c>
      <c r="V11" s="15" t="n">
        <v>2800.0224001792</v>
      </c>
      <c r="W11" s="15" t="n">
        <v>3129.98841904285</v>
      </c>
      <c r="X11" s="15" t="s">
        <v>1092</v>
      </c>
      <c r="Y11" s="15" t="n">
        <v>0.117844063976963</v>
      </c>
    </row>
    <row r="12" customFormat="false" ht="13.8" hidden="true" customHeight="false" outlineLevel="0" collapsed="false">
      <c r="A12" s="15" t="s">
        <v>1082</v>
      </c>
      <c r="B12" s="15" t="s">
        <v>1109</v>
      </c>
      <c r="C12" s="15" t="n">
        <v>2013</v>
      </c>
      <c r="D12" s="15" t="s">
        <v>1059</v>
      </c>
      <c r="E12" s="15" t="s">
        <v>1110</v>
      </c>
      <c r="F12" s="15" t="s">
        <v>1111</v>
      </c>
      <c r="H12" s="15" t="s">
        <v>1125</v>
      </c>
      <c r="I12" s="16" t="n">
        <v>40</v>
      </c>
      <c r="J12" s="16" t="n">
        <v>44</v>
      </c>
      <c r="K12" s="15" t="s">
        <v>1122</v>
      </c>
      <c r="L12" s="16" t="n">
        <v>112000.896007168</v>
      </c>
      <c r="M12" s="16" t="n">
        <v>137719.490437885</v>
      </c>
      <c r="N12" s="15" t="s">
        <v>1123</v>
      </c>
      <c r="P12" s="15" t="n">
        <v>0.1</v>
      </c>
      <c r="Q12" s="15" t="s">
        <v>1089</v>
      </c>
      <c r="R12" s="15" t="n">
        <v>0.229628470374659</v>
      </c>
      <c r="S12" s="15" t="s">
        <v>1089</v>
      </c>
      <c r="T12" s="15" t="s">
        <v>1090</v>
      </c>
      <c r="U12" s="15" t="s">
        <v>1115</v>
      </c>
      <c r="V12" s="15" t="n">
        <v>2800.0224001792</v>
      </c>
      <c r="W12" s="15" t="n">
        <v>3129.98841904285</v>
      </c>
      <c r="X12" s="15" t="s">
        <v>1092</v>
      </c>
      <c r="Y12" s="15" t="n">
        <v>0.117844063976963</v>
      </c>
    </row>
    <row r="13" customFormat="false" ht="13.8" hidden="true" customHeight="false" outlineLevel="0" collapsed="false">
      <c r="A13" s="15" t="s">
        <v>1082</v>
      </c>
      <c r="B13" s="15" t="s">
        <v>1109</v>
      </c>
      <c r="C13" s="15" t="n">
        <v>2013</v>
      </c>
      <c r="D13" s="15" t="s">
        <v>1059</v>
      </c>
      <c r="E13" s="15" t="s">
        <v>1110</v>
      </c>
      <c r="F13" s="15" t="s">
        <v>1111</v>
      </c>
      <c r="H13" s="15" t="s">
        <v>1126</v>
      </c>
      <c r="I13" s="16" t="n">
        <v>0.000128</v>
      </c>
      <c r="J13" s="16" t="n">
        <v>0.000138</v>
      </c>
      <c r="K13" s="15" t="s">
        <v>1122</v>
      </c>
      <c r="L13" s="16" t="n">
        <v>0.358402867222938</v>
      </c>
      <c r="M13" s="16" t="n">
        <v>0.431938401827913</v>
      </c>
      <c r="N13" s="15" t="s">
        <v>1123</v>
      </c>
      <c r="P13" s="15" t="n">
        <v>0.078125</v>
      </c>
      <c r="Q13" s="15" t="s">
        <v>1089</v>
      </c>
      <c r="R13" s="15" t="n">
        <v>0.205175631475165</v>
      </c>
      <c r="S13" s="15" t="s">
        <v>1089</v>
      </c>
      <c r="T13" s="15" t="s">
        <v>1090</v>
      </c>
      <c r="U13" s="15" t="s">
        <v>1115</v>
      </c>
      <c r="V13" s="15" t="n">
        <v>2800.0224001792</v>
      </c>
      <c r="W13" s="15" t="n">
        <v>3129.98841904285</v>
      </c>
      <c r="X13" s="15" t="s">
        <v>1092</v>
      </c>
      <c r="Y13" s="15" t="n">
        <v>0.117844063976964</v>
      </c>
    </row>
    <row r="14" customFormat="false" ht="13.8" hidden="true" customHeight="false" outlineLevel="0" collapsed="false">
      <c r="A14" s="15" t="s">
        <v>1082</v>
      </c>
      <c r="B14" s="15" t="s">
        <v>1109</v>
      </c>
      <c r="C14" s="15" t="n">
        <v>2013</v>
      </c>
      <c r="D14" s="15" t="s">
        <v>1059</v>
      </c>
      <c r="E14" s="15" t="s">
        <v>1110</v>
      </c>
      <c r="F14" s="15" t="s">
        <v>1111</v>
      </c>
      <c r="H14" s="15" t="s">
        <v>1127</v>
      </c>
      <c r="I14" s="16" t="n">
        <v>1.25E-005</v>
      </c>
      <c r="J14" s="16" t="n">
        <v>9.03E-006</v>
      </c>
      <c r="K14" s="57" t="s">
        <v>1128</v>
      </c>
      <c r="L14" s="16" t="n">
        <v>0.03500028000224</v>
      </c>
      <c r="M14" s="16" t="n">
        <v>0.0282637954239569</v>
      </c>
      <c r="N14" s="57" t="s">
        <v>1129</v>
      </c>
      <c r="P14" s="15" t="n">
        <v>-0.2776</v>
      </c>
      <c r="Q14" s="15" t="s">
        <v>1089</v>
      </c>
      <c r="R14" s="15" t="n">
        <v>-0.192469448183041</v>
      </c>
      <c r="S14" s="15" t="s">
        <v>1089</v>
      </c>
      <c r="T14" s="15" t="s">
        <v>1090</v>
      </c>
      <c r="U14" s="15" t="s">
        <v>1115</v>
      </c>
      <c r="V14" s="15" t="n">
        <v>2800.0224001792</v>
      </c>
      <c r="W14" s="15" t="n">
        <v>3129.98841904285</v>
      </c>
      <c r="X14" s="15" t="s">
        <v>1092</v>
      </c>
      <c r="Y14" s="15" t="n">
        <v>0.117844063976964</v>
      </c>
    </row>
    <row r="15" customFormat="false" ht="13.8" hidden="true" customHeight="false" outlineLevel="0" collapsed="false">
      <c r="A15" s="15" t="s">
        <v>1082</v>
      </c>
      <c r="B15" s="15" t="s">
        <v>1109</v>
      </c>
      <c r="C15" s="15" t="n">
        <v>2013</v>
      </c>
      <c r="D15" s="15" t="s">
        <v>1059</v>
      </c>
      <c r="E15" s="15" t="s">
        <v>1110</v>
      </c>
      <c r="F15" s="15" t="s">
        <v>1111</v>
      </c>
      <c r="H15" s="15" t="s">
        <v>1130</v>
      </c>
      <c r="I15" s="16" t="n">
        <v>0.0132</v>
      </c>
      <c r="J15" s="16" t="n">
        <v>0.0164</v>
      </c>
      <c r="K15" s="57" t="s">
        <v>1131</v>
      </c>
      <c r="L15" s="16" t="n">
        <v>36.9602956823654</v>
      </c>
      <c r="M15" s="16" t="n">
        <v>51.3318100723027</v>
      </c>
      <c r="N15" s="57" t="s">
        <v>1132</v>
      </c>
      <c r="P15" s="15" t="n">
        <v>0.242424242424242</v>
      </c>
      <c r="Q15" s="15" t="s">
        <v>1089</v>
      </c>
      <c r="R15" s="15" t="n">
        <v>0.388836564335016</v>
      </c>
      <c r="S15" s="15" t="s">
        <v>1089</v>
      </c>
      <c r="T15" s="15" t="s">
        <v>1090</v>
      </c>
      <c r="U15" s="15" t="s">
        <v>1115</v>
      </c>
      <c r="V15" s="15" t="n">
        <v>2800.0224001792</v>
      </c>
      <c r="W15" s="15" t="n">
        <v>3129.98841904285</v>
      </c>
      <c r="X15" s="15" t="s">
        <v>1092</v>
      </c>
      <c r="Y15" s="15" t="n">
        <v>0.117844063976964</v>
      </c>
    </row>
    <row r="16" customFormat="false" ht="13.8" hidden="true" customHeight="false" outlineLevel="0" collapsed="false">
      <c r="A16" s="15" t="s">
        <v>1082</v>
      </c>
      <c r="B16" s="15" t="s">
        <v>1109</v>
      </c>
      <c r="C16" s="15" t="n">
        <v>2013</v>
      </c>
      <c r="D16" s="15" t="s">
        <v>1059</v>
      </c>
      <c r="E16" s="15" t="s">
        <v>1110</v>
      </c>
      <c r="F16" s="15" t="s">
        <v>1111</v>
      </c>
      <c r="H16" s="15" t="s">
        <v>1133</v>
      </c>
      <c r="I16" s="16" t="n">
        <v>0.0022</v>
      </c>
      <c r="J16" s="16" t="n">
        <v>0.00261</v>
      </c>
      <c r="K16" s="57" t="s">
        <v>1134</v>
      </c>
      <c r="L16" s="16" t="n">
        <v>6.16004928039424</v>
      </c>
      <c r="M16" s="16" t="n">
        <v>8.16926977370184</v>
      </c>
      <c r="N16" s="57" t="s">
        <v>1135</v>
      </c>
      <c r="P16" s="15" t="n">
        <v>0.186363636363636</v>
      </c>
      <c r="Q16" s="15" t="s">
        <v>1089</v>
      </c>
      <c r="R16" s="15" t="n">
        <v>0.326169548627217</v>
      </c>
      <c r="S16" s="15" t="s">
        <v>1089</v>
      </c>
      <c r="T16" s="15" t="s">
        <v>1090</v>
      </c>
      <c r="U16" s="15" t="s">
        <v>1115</v>
      </c>
      <c r="V16" s="15" t="n">
        <v>2800.0224001792</v>
      </c>
      <c r="W16" s="15" t="n">
        <v>3129.98841904285</v>
      </c>
      <c r="X16" s="15" t="s">
        <v>1092</v>
      </c>
      <c r="Y16" s="15" t="n">
        <v>0.117844063976964</v>
      </c>
    </row>
    <row r="17" customFormat="false" ht="13.8" hidden="true" customHeight="false" outlineLevel="0" collapsed="false">
      <c r="A17" s="15" t="s">
        <v>1082</v>
      </c>
      <c r="B17" s="15" t="s">
        <v>1109</v>
      </c>
      <c r="C17" s="15" t="n">
        <v>2013</v>
      </c>
      <c r="D17" s="15" t="s">
        <v>1059</v>
      </c>
      <c r="E17" s="15" t="s">
        <v>1136</v>
      </c>
      <c r="F17" s="15" t="s">
        <v>1111</v>
      </c>
      <c r="H17" s="15" t="s">
        <v>1112</v>
      </c>
      <c r="I17" s="16" t="n">
        <v>0.000866</v>
      </c>
      <c r="J17" s="16" t="n">
        <v>0.000151</v>
      </c>
      <c r="K17" s="15" t="s">
        <v>1113</v>
      </c>
      <c r="L17" s="16" t="n">
        <v>0.9959</v>
      </c>
      <c r="M17" s="16" t="n">
        <v>0.22952</v>
      </c>
      <c r="N17" s="15" t="s">
        <v>1114</v>
      </c>
      <c r="P17" s="15" t="n">
        <v>-0.825635103926097</v>
      </c>
      <c r="Q17" s="15" t="s">
        <v>1089</v>
      </c>
      <c r="R17" s="15" t="n">
        <v>-0.769535093884928</v>
      </c>
      <c r="S17" s="15" t="s">
        <v>1089</v>
      </c>
      <c r="T17" s="15" t="s">
        <v>1090</v>
      </c>
      <c r="U17" s="15" t="s">
        <v>1115</v>
      </c>
      <c r="V17" s="15" t="n">
        <v>1150</v>
      </c>
      <c r="W17" s="15" t="n">
        <v>1520</v>
      </c>
      <c r="X17" s="15" t="s">
        <v>1092</v>
      </c>
      <c r="Y17" s="15" t="n">
        <v>0.321739130434783</v>
      </c>
    </row>
    <row r="18" customFormat="false" ht="13.8" hidden="false" customHeight="false" outlineLevel="0" collapsed="false">
      <c r="A18" s="15" t="s">
        <v>1082</v>
      </c>
      <c r="B18" s="15" t="s">
        <v>1109</v>
      </c>
      <c r="C18" s="15" t="n">
        <v>2013</v>
      </c>
      <c r="D18" s="15" t="s">
        <v>1059</v>
      </c>
      <c r="E18" s="15" t="s">
        <v>1136</v>
      </c>
      <c r="F18" s="15" t="s">
        <v>1111</v>
      </c>
      <c r="H18" s="15" t="s">
        <v>403</v>
      </c>
      <c r="I18" s="16" t="n">
        <v>0.302</v>
      </c>
      <c r="J18" s="16" t="n">
        <v>0.438</v>
      </c>
      <c r="K18" s="57" t="s">
        <v>1116</v>
      </c>
      <c r="L18" s="16" t="n">
        <v>347.3</v>
      </c>
      <c r="M18" s="16" t="n">
        <v>665.76</v>
      </c>
      <c r="N18" s="57" t="s">
        <v>1117</v>
      </c>
      <c r="P18" s="15" t="n">
        <v>0.450331125827815</v>
      </c>
      <c r="Q18" s="15" t="s">
        <v>1089</v>
      </c>
      <c r="R18" s="15" t="n">
        <v>0.916959401094155</v>
      </c>
      <c r="S18" s="15" t="s">
        <v>1089</v>
      </c>
      <c r="T18" s="15" t="s">
        <v>1090</v>
      </c>
      <c r="U18" s="15" t="s">
        <v>1115</v>
      </c>
      <c r="V18" s="15" t="n">
        <v>1150</v>
      </c>
      <c r="W18" s="15" t="n">
        <v>1520</v>
      </c>
      <c r="X18" s="15" t="s">
        <v>1092</v>
      </c>
      <c r="Y18" s="15" t="n">
        <v>0.321739130434783</v>
      </c>
    </row>
    <row r="19" customFormat="false" ht="13.8" hidden="true" customHeight="false" outlineLevel="0" collapsed="false">
      <c r="A19" s="15" t="s">
        <v>1082</v>
      </c>
      <c r="B19" s="15" t="s">
        <v>1109</v>
      </c>
      <c r="C19" s="15" t="n">
        <v>2013</v>
      </c>
      <c r="D19" s="15" t="s">
        <v>1059</v>
      </c>
      <c r="E19" s="15" t="s">
        <v>1136</v>
      </c>
      <c r="F19" s="15" t="s">
        <v>1111</v>
      </c>
      <c r="H19" s="15" t="s">
        <v>1118</v>
      </c>
      <c r="I19" s="16" t="n">
        <v>5.74E-009</v>
      </c>
      <c r="J19" s="16" t="n">
        <v>5.75E-009</v>
      </c>
      <c r="K19" s="15" t="s">
        <v>1119</v>
      </c>
      <c r="L19" s="16" t="n">
        <v>6.601E-006</v>
      </c>
      <c r="M19" s="16" t="n">
        <v>8.74E-006</v>
      </c>
      <c r="N19" s="15" t="s">
        <v>1120</v>
      </c>
      <c r="P19" s="15" t="n">
        <v>0.00174216027874574</v>
      </c>
      <c r="Q19" s="15" t="s">
        <v>1089</v>
      </c>
      <c r="R19" s="15" t="n">
        <v>0.32404181184669</v>
      </c>
      <c r="S19" s="15" t="s">
        <v>1089</v>
      </c>
      <c r="T19" s="15" t="s">
        <v>1090</v>
      </c>
      <c r="U19" s="15" t="s">
        <v>1115</v>
      </c>
      <c r="V19" s="15" t="n">
        <v>1150</v>
      </c>
      <c r="W19" s="15" t="n">
        <v>1520</v>
      </c>
      <c r="X19" s="15" t="s">
        <v>1092</v>
      </c>
      <c r="Y19" s="15" t="n">
        <v>0.321739130434783</v>
      </c>
    </row>
    <row r="20" customFormat="false" ht="13.8" hidden="true" customHeight="false" outlineLevel="0" collapsed="false">
      <c r="A20" s="15" t="s">
        <v>1082</v>
      </c>
      <c r="B20" s="15" t="s">
        <v>1109</v>
      </c>
      <c r="C20" s="15" t="n">
        <v>2013</v>
      </c>
      <c r="D20" s="15" t="s">
        <v>1059</v>
      </c>
      <c r="E20" s="15" t="s">
        <v>1136</v>
      </c>
      <c r="F20" s="15" t="s">
        <v>1111</v>
      </c>
      <c r="H20" s="15" t="s">
        <v>1121</v>
      </c>
      <c r="I20" s="16" t="n">
        <v>0.012</v>
      </c>
      <c r="J20" s="16" t="n">
        <v>0.0106</v>
      </c>
      <c r="K20" s="15" t="s">
        <v>1122</v>
      </c>
      <c r="L20" s="16" t="n">
        <v>13.8</v>
      </c>
      <c r="M20" s="16" t="n">
        <v>16.112</v>
      </c>
      <c r="N20" s="15" t="s">
        <v>1123</v>
      </c>
      <c r="P20" s="15" t="n">
        <v>-0.116666666666667</v>
      </c>
      <c r="Q20" s="15" t="s">
        <v>1089</v>
      </c>
      <c r="R20" s="15" t="n">
        <v>0.167536231884058</v>
      </c>
      <c r="S20" s="15" t="s">
        <v>1089</v>
      </c>
      <c r="T20" s="15" t="s">
        <v>1090</v>
      </c>
      <c r="U20" s="15" t="s">
        <v>1115</v>
      </c>
      <c r="V20" s="15" t="n">
        <v>1150</v>
      </c>
      <c r="W20" s="15" t="n">
        <v>1520</v>
      </c>
      <c r="X20" s="15" t="s">
        <v>1092</v>
      </c>
      <c r="Y20" s="15" t="n">
        <v>0.321739130434783</v>
      </c>
    </row>
    <row r="21" customFormat="false" ht="13.8" hidden="true" customHeight="false" outlineLevel="0" collapsed="false">
      <c r="A21" s="15" t="s">
        <v>1082</v>
      </c>
      <c r="B21" s="15" t="s">
        <v>1109</v>
      </c>
      <c r="C21" s="15" t="n">
        <v>2013</v>
      </c>
      <c r="D21" s="15" t="s">
        <v>1059</v>
      </c>
      <c r="E21" s="15" t="s">
        <v>1136</v>
      </c>
      <c r="F21" s="15" t="s">
        <v>1111</v>
      </c>
      <c r="H21" s="15" t="s">
        <v>1124</v>
      </c>
      <c r="I21" s="16" t="n">
        <v>-1.17E-005</v>
      </c>
      <c r="J21" s="16" t="n">
        <v>0.000263</v>
      </c>
      <c r="K21" s="15" t="s">
        <v>1122</v>
      </c>
      <c r="L21" s="16" t="n">
        <v>-0.013455</v>
      </c>
      <c r="M21" s="16" t="n">
        <v>0.39976</v>
      </c>
      <c r="N21" s="15" t="s">
        <v>1123</v>
      </c>
      <c r="P21" s="15" t="n">
        <v>0.000251297059824296</v>
      </c>
      <c r="Q21" s="15" t="s">
        <v>1089</v>
      </c>
      <c r="R21" s="15" t="n">
        <v>0.381176273243509</v>
      </c>
      <c r="S21" s="15" t="s">
        <v>1089</v>
      </c>
      <c r="T21" s="15" t="s">
        <v>1090</v>
      </c>
      <c r="U21" s="15" t="s">
        <v>1115</v>
      </c>
      <c r="V21" s="15" t="n">
        <v>1150</v>
      </c>
      <c r="W21" s="15" t="n">
        <v>1520</v>
      </c>
      <c r="X21" s="15" t="s">
        <v>1092</v>
      </c>
      <c r="Y21" s="15" t="n">
        <v>0.321739130434783</v>
      </c>
    </row>
    <row r="22" customFormat="false" ht="13.8" hidden="true" customHeight="false" outlineLevel="0" collapsed="false">
      <c r="A22" s="15" t="s">
        <v>1082</v>
      </c>
      <c r="B22" s="15" t="s">
        <v>1109</v>
      </c>
      <c r="C22" s="15" t="n">
        <v>2013</v>
      </c>
      <c r="D22" s="15" t="s">
        <v>1059</v>
      </c>
      <c r="E22" s="15" t="s">
        <v>1136</v>
      </c>
      <c r="F22" s="15" t="s">
        <v>1111</v>
      </c>
      <c r="H22" s="15" t="s">
        <v>1125</v>
      </c>
      <c r="I22" s="16" t="n">
        <v>48.4</v>
      </c>
      <c r="J22" s="16" t="n">
        <v>47.4</v>
      </c>
      <c r="K22" s="15" t="s">
        <v>1122</v>
      </c>
      <c r="L22" s="16" t="n">
        <v>55660</v>
      </c>
      <c r="M22" s="16" t="n">
        <v>72048</v>
      </c>
      <c r="N22" s="15" t="s">
        <v>1123</v>
      </c>
      <c r="P22" s="15" t="n">
        <v>-0.0206611570247934</v>
      </c>
      <c r="Q22" s="15" t="s">
        <v>1089</v>
      </c>
      <c r="R22" s="15" t="n">
        <v>0.294430470715056</v>
      </c>
      <c r="S22" s="15" t="s">
        <v>1089</v>
      </c>
      <c r="T22" s="15" t="s">
        <v>1090</v>
      </c>
      <c r="U22" s="15" t="s">
        <v>1115</v>
      </c>
      <c r="V22" s="15" t="n">
        <v>1150</v>
      </c>
      <c r="W22" s="15" t="n">
        <v>1520</v>
      </c>
      <c r="X22" s="15" t="s">
        <v>1092</v>
      </c>
      <c r="Y22" s="15" t="n">
        <v>0.321739130434783</v>
      </c>
    </row>
    <row r="23" customFormat="false" ht="13.8" hidden="true" customHeight="false" outlineLevel="0" collapsed="false">
      <c r="A23" s="15" t="s">
        <v>1082</v>
      </c>
      <c r="B23" s="15" t="s">
        <v>1109</v>
      </c>
      <c r="C23" s="15" t="n">
        <v>2013</v>
      </c>
      <c r="D23" s="15" t="s">
        <v>1059</v>
      </c>
      <c r="E23" s="15" t="s">
        <v>1136</v>
      </c>
      <c r="F23" s="15" t="s">
        <v>1111</v>
      </c>
      <c r="H23" s="15" t="s">
        <v>1126</v>
      </c>
      <c r="I23" s="16" t="n">
        <v>0.000155</v>
      </c>
      <c r="J23" s="16" t="n">
        <v>0.000147</v>
      </c>
      <c r="K23" s="15" t="s">
        <v>1122</v>
      </c>
      <c r="L23" s="16" t="n">
        <v>0.17825</v>
      </c>
      <c r="M23" s="16" t="n">
        <v>0.22344</v>
      </c>
      <c r="N23" s="15" t="s">
        <v>1123</v>
      </c>
      <c r="P23" s="15" t="n">
        <v>-0.0516129032258065</v>
      </c>
      <c r="Q23" s="15" t="s">
        <v>1089</v>
      </c>
      <c r="R23" s="15" t="n">
        <v>0.253520336605891</v>
      </c>
      <c r="S23" s="15" t="s">
        <v>1089</v>
      </c>
      <c r="T23" s="15" t="s">
        <v>1090</v>
      </c>
      <c r="U23" s="15" t="s">
        <v>1115</v>
      </c>
      <c r="V23" s="15" t="n">
        <v>1150</v>
      </c>
      <c r="W23" s="15" t="n">
        <v>1520</v>
      </c>
      <c r="X23" s="15" t="s">
        <v>1092</v>
      </c>
      <c r="Y23" s="15" t="n">
        <v>0.321739130434783</v>
      </c>
    </row>
    <row r="24" customFormat="false" ht="13.8" hidden="true" customHeight="false" outlineLevel="0" collapsed="false">
      <c r="A24" s="15" t="s">
        <v>1082</v>
      </c>
      <c r="B24" s="15" t="s">
        <v>1109</v>
      </c>
      <c r="C24" s="15" t="n">
        <v>2013</v>
      </c>
      <c r="D24" s="15" t="s">
        <v>1059</v>
      </c>
      <c r="E24" s="15" t="s">
        <v>1136</v>
      </c>
      <c r="F24" s="15" t="s">
        <v>1111</v>
      </c>
      <c r="H24" s="15" t="s">
        <v>1127</v>
      </c>
      <c r="I24" s="16" t="n">
        <v>1.46E-005</v>
      </c>
      <c r="J24" s="16" t="n">
        <v>9.87E-007</v>
      </c>
      <c r="K24" s="57" t="s">
        <v>1128</v>
      </c>
      <c r="L24" s="16" t="n">
        <v>0.01679</v>
      </c>
      <c r="M24" s="16" t="n">
        <v>0.00150024</v>
      </c>
      <c r="N24" s="57" t="s">
        <v>1129</v>
      </c>
      <c r="P24" s="15" t="n">
        <v>-0.932397260273973</v>
      </c>
      <c r="Q24" s="15" t="s">
        <v>1089</v>
      </c>
      <c r="R24" s="15" t="n">
        <v>-0.910646813579512</v>
      </c>
      <c r="S24" s="15" t="s">
        <v>1089</v>
      </c>
      <c r="T24" s="15" t="s">
        <v>1090</v>
      </c>
      <c r="U24" s="15" t="s">
        <v>1115</v>
      </c>
      <c r="V24" s="15" t="n">
        <v>1150</v>
      </c>
      <c r="W24" s="15" t="n">
        <v>1520</v>
      </c>
      <c r="X24" s="15" t="s">
        <v>1092</v>
      </c>
      <c r="Y24" s="15" t="n">
        <v>0.321739130434783</v>
      </c>
    </row>
    <row r="25" customFormat="false" ht="13.8" hidden="true" customHeight="false" outlineLevel="0" collapsed="false">
      <c r="A25" s="15" t="s">
        <v>1082</v>
      </c>
      <c r="B25" s="15" t="s">
        <v>1109</v>
      </c>
      <c r="C25" s="15" t="n">
        <v>2013</v>
      </c>
      <c r="D25" s="15" t="s">
        <v>1059</v>
      </c>
      <c r="E25" s="15" t="s">
        <v>1136</v>
      </c>
      <c r="F25" s="15" t="s">
        <v>1111</v>
      </c>
      <c r="H25" s="15" t="s">
        <v>1130</v>
      </c>
      <c r="I25" s="16" t="n">
        <v>0.0162</v>
      </c>
      <c r="J25" s="16" t="n">
        <v>0.0269</v>
      </c>
      <c r="K25" s="57" t="s">
        <v>1131</v>
      </c>
      <c r="L25" s="16" t="n">
        <v>18.63</v>
      </c>
      <c r="M25" s="16" t="n">
        <v>40.888</v>
      </c>
      <c r="N25" s="57" t="s">
        <v>1132</v>
      </c>
      <c r="P25" s="15" t="n">
        <v>0.660493827160494</v>
      </c>
      <c r="Q25" s="15" t="s">
        <v>1089</v>
      </c>
      <c r="R25" s="15" t="n">
        <v>1.19473966720344</v>
      </c>
      <c r="S25" s="15" t="s">
        <v>1089</v>
      </c>
      <c r="T25" s="15" t="s">
        <v>1090</v>
      </c>
      <c r="U25" s="15" t="s">
        <v>1115</v>
      </c>
      <c r="V25" s="15" t="n">
        <v>1150</v>
      </c>
      <c r="W25" s="15" t="n">
        <v>1520</v>
      </c>
      <c r="X25" s="15" t="s">
        <v>1092</v>
      </c>
      <c r="Y25" s="15" t="n">
        <v>0.321739130434783</v>
      </c>
    </row>
    <row r="26" customFormat="false" ht="13.8" hidden="true" customHeight="false" outlineLevel="0" collapsed="false">
      <c r="A26" s="15" t="s">
        <v>1082</v>
      </c>
      <c r="B26" s="15" t="s">
        <v>1109</v>
      </c>
      <c r="C26" s="15" t="n">
        <v>2013</v>
      </c>
      <c r="D26" s="15" t="s">
        <v>1059</v>
      </c>
      <c r="E26" s="15" t="s">
        <v>1136</v>
      </c>
      <c r="F26" s="15" t="s">
        <v>1111</v>
      </c>
      <c r="H26" s="15" t="s">
        <v>1133</v>
      </c>
      <c r="I26" s="16" t="n">
        <v>0.0027</v>
      </c>
      <c r="J26" s="16" t="n">
        <v>0.00417</v>
      </c>
      <c r="K26" s="57" t="s">
        <v>1134</v>
      </c>
      <c r="L26" s="16" t="n">
        <v>3.105</v>
      </c>
      <c r="M26" s="16" t="n">
        <v>6.3384</v>
      </c>
      <c r="N26" s="57" t="s">
        <v>1135</v>
      </c>
      <c r="P26" s="15" t="n">
        <v>0.544444444444445</v>
      </c>
      <c r="Q26" s="15" t="s">
        <v>1089</v>
      </c>
      <c r="R26" s="15" t="n">
        <v>1.04135265700483</v>
      </c>
      <c r="S26" s="15" t="s">
        <v>1089</v>
      </c>
      <c r="T26" s="15" t="s">
        <v>1090</v>
      </c>
      <c r="U26" s="15" t="s">
        <v>1115</v>
      </c>
      <c r="V26" s="15" t="n">
        <v>1150</v>
      </c>
      <c r="W26" s="15" t="n">
        <v>1520</v>
      </c>
      <c r="X26" s="15" t="s">
        <v>1092</v>
      </c>
      <c r="Y26" s="15" t="n">
        <v>0.321739130434783</v>
      </c>
    </row>
    <row r="27" customFormat="false" ht="13.8" hidden="false" customHeight="false" outlineLevel="0" collapsed="false">
      <c r="A27" s="15" t="s">
        <v>1093</v>
      </c>
      <c r="B27" s="15" t="s">
        <v>1137</v>
      </c>
      <c r="C27" s="15" t="n">
        <v>2007</v>
      </c>
      <c r="D27" s="15" t="s">
        <v>103</v>
      </c>
      <c r="E27" s="15" t="s">
        <v>1138</v>
      </c>
      <c r="F27" s="15" t="s">
        <v>766</v>
      </c>
      <c r="H27" s="15" t="s">
        <v>403</v>
      </c>
      <c r="I27" s="16" t="n">
        <v>0.593</v>
      </c>
      <c r="J27" s="16" t="n">
        <v>0.456</v>
      </c>
      <c r="K27" s="15" t="s">
        <v>1139</v>
      </c>
      <c r="L27" s="16" t="s">
        <v>1140</v>
      </c>
      <c r="M27" s="16" t="s">
        <v>1140</v>
      </c>
      <c r="N27" s="15" t="s">
        <v>628</v>
      </c>
      <c r="P27" s="15" t="n">
        <v>-0.231028667790894</v>
      </c>
      <c r="Q27" s="15" t="s">
        <v>1089</v>
      </c>
      <c r="R27" s="15" t="s">
        <v>1140</v>
      </c>
      <c r="S27" s="15" t="s">
        <v>628</v>
      </c>
      <c r="T27" s="15" t="s">
        <v>1090</v>
      </c>
      <c r="U27" s="15" t="s">
        <v>1141</v>
      </c>
      <c r="V27" s="15" t="s">
        <v>1140</v>
      </c>
      <c r="W27" s="15" t="s">
        <v>1140</v>
      </c>
      <c r="X27" s="15" t="s">
        <v>1140</v>
      </c>
      <c r="Y27" s="15" t="s">
        <v>1140</v>
      </c>
    </row>
    <row r="28" customFormat="false" ht="13.8" hidden="false" customHeight="false" outlineLevel="0" collapsed="false">
      <c r="A28" s="15" t="s">
        <v>1093</v>
      </c>
      <c r="B28" s="15" t="s">
        <v>1083</v>
      </c>
      <c r="C28" s="15" t="n">
        <v>2012</v>
      </c>
      <c r="D28" s="15" t="s">
        <v>1084</v>
      </c>
      <c r="E28" s="15" t="s">
        <v>1142</v>
      </c>
      <c r="F28" s="15" t="s">
        <v>1086</v>
      </c>
      <c r="H28" s="15" t="s">
        <v>403</v>
      </c>
      <c r="I28" s="16" t="n">
        <v>0.829</v>
      </c>
      <c r="J28" s="16" t="n">
        <v>0.723</v>
      </c>
      <c r="K28" s="15" t="s">
        <v>1087</v>
      </c>
      <c r="L28" s="16" t="n">
        <v>13008.7353998042</v>
      </c>
      <c r="M28" s="16" t="n">
        <v>11345.3747817352</v>
      </c>
      <c r="N28" s="15" t="s">
        <v>1095</v>
      </c>
      <c r="P28" s="15" t="n">
        <v>-0.127864897466828</v>
      </c>
      <c r="Q28" s="15" t="s">
        <v>1089</v>
      </c>
      <c r="R28" s="15" t="n">
        <v>-0.127864897466827</v>
      </c>
      <c r="S28" s="15" t="s">
        <v>1089</v>
      </c>
      <c r="T28" s="15" t="s">
        <v>1090</v>
      </c>
      <c r="U28" s="15" t="s">
        <v>1091</v>
      </c>
      <c r="V28" s="15" t="n">
        <v>15692.0813025383</v>
      </c>
      <c r="W28" s="15" t="n">
        <v>15692.0813025383</v>
      </c>
      <c r="X28" s="15" t="s">
        <v>1092</v>
      </c>
      <c r="Y28" s="15" t="n">
        <v>0</v>
      </c>
    </row>
    <row r="29" customFormat="false" ht="13.8" hidden="false" customHeight="false" outlineLevel="0" collapsed="false">
      <c r="A29" s="15" t="s">
        <v>1093</v>
      </c>
      <c r="B29" s="15" t="s">
        <v>1083</v>
      </c>
      <c r="C29" s="15" t="n">
        <v>2019</v>
      </c>
      <c r="D29" s="15" t="s">
        <v>1084</v>
      </c>
      <c r="E29" s="15" t="s">
        <v>1143</v>
      </c>
      <c r="F29" s="15" t="s">
        <v>1086</v>
      </c>
      <c r="H29" s="15" t="s">
        <v>403</v>
      </c>
      <c r="I29" s="16" t="n">
        <v>0.353</v>
      </c>
      <c r="J29" s="16" t="n">
        <v>0.409</v>
      </c>
      <c r="K29" s="15" t="s">
        <v>1087</v>
      </c>
      <c r="L29" s="16" t="n">
        <v>5788.56800313846</v>
      </c>
      <c r="M29" s="16" t="n">
        <v>6555.59200300627</v>
      </c>
      <c r="N29" s="15" t="s">
        <v>1095</v>
      </c>
      <c r="P29" s="15" t="n">
        <v>0.158640226628895</v>
      </c>
      <c r="Q29" s="15" t="s">
        <v>1089</v>
      </c>
      <c r="R29" s="15" t="n">
        <v>0.132506692406818</v>
      </c>
      <c r="S29" s="15" t="s">
        <v>1089</v>
      </c>
      <c r="T29" s="15" t="s">
        <v>1090</v>
      </c>
      <c r="U29" s="15" t="s">
        <v>1091</v>
      </c>
      <c r="V29" s="15" t="n">
        <v>16398.2096406189</v>
      </c>
      <c r="W29" s="15" t="n">
        <v>16028.3423056388</v>
      </c>
      <c r="X29" s="15" t="s">
        <v>1092</v>
      </c>
      <c r="Y29" s="15" t="n">
        <v>-0.0225553486073188</v>
      </c>
    </row>
    <row r="30" customFormat="false" ht="13.8" hidden="true" customHeight="false" outlineLevel="0" collapsed="false">
      <c r="A30" s="15" t="s">
        <v>1093</v>
      </c>
      <c r="B30" s="15" t="s">
        <v>1144</v>
      </c>
      <c r="C30" s="15" t="n">
        <v>2011</v>
      </c>
      <c r="D30" s="15" t="s">
        <v>1059</v>
      </c>
      <c r="E30" s="15" t="s">
        <v>1145</v>
      </c>
      <c r="F30" s="15" t="s">
        <v>1086</v>
      </c>
      <c r="H30" s="15" t="s">
        <v>1102</v>
      </c>
      <c r="I30" s="16" t="n">
        <v>10.6093023255814</v>
      </c>
      <c r="J30" s="16" t="n">
        <v>14.5972222222222</v>
      </c>
      <c r="K30" s="15" t="s">
        <v>1146</v>
      </c>
      <c r="L30" s="16" t="n">
        <v>45.62</v>
      </c>
      <c r="M30" s="16" t="n">
        <v>31.53</v>
      </c>
      <c r="N30" s="15" t="s">
        <v>1147</v>
      </c>
      <c r="P30" s="15" t="n">
        <v>0.375888986312046</v>
      </c>
      <c r="Q30" s="15" t="s">
        <v>1089</v>
      </c>
      <c r="R30" s="15" t="n">
        <v>-0.308855765015344</v>
      </c>
      <c r="S30" s="15" t="s">
        <v>1148</v>
      </c>
      <c r="T30" s="15" t="s">
        <v>1090</v>
      </c>
      <c r="U30" s="15" t="s">
        <v>1149</v>
      </c>
      <c r="V30" s="15" t="n">
        <v>4.3</v>
      </c>
      <c r="W30" s="15" t="n">
        <v>2.16</v>
      </c>
      <c r="X30" s="15" t="s">
        <v>1108</v>
      </c>
      <c r="Y30" s="15" t="n">
        <v>-0.497674418604651</v>
      </c>
    </row>
    <row r="31" customFormat="false" ht="13.8" hidden="true" customHeight="false" outlineLevel="0" collapsed="false">
      <c r="A31" s="15" t="s">
        <v>1082</v>
      </c>
      <c r="B31" s="15" t="s">
        <v>1150</v>
      </c>
      <c r="C31" s="15" t="n">
        <v>2010</v>
      </c>
      <c r="D31" s="15" t="s">
        <v>144</v>
      </c>
      <c r="E31" s="15" t="s">
        <v>1151</v>
      </c>
      <c r="F31" s="15" t="s">
        <v>1152</v>
      </c>
      <c r="H31" s="15" t="s">
        <v>1153</v>
      </c>
      <c r="I31" s="16" t="n">
        <v>0.83</v>
      </c>
      <c r="J31" s="16" t="n">
        <v>0.94</v>
      </c>
      <c r="K31" s="15" t="s">
        <v>1154</v>
      </c>
      <c r="L31" s="16" t="s">
        <v>628</v>
      </c>
      <c r="M31" s="16" t="s">
        <v>628</v>
      </c>
      <c r="N31" s="15" t="s">
        <v>628</v>
      </c>
      <c r="P31" s="15" t="n">
        <v>0.132530120481928</v>
      </c>
      <c r="Q31" s="15" t="s">
        <v>1089</v>
      </c>
      <c r="R31" s="15" t="s">
        <v>628</v>
      </c>
      <c r="S31" s="15" t="s">
        <v>628</v>
      </c>
      <c r="T31" s="15" t="s">
        <v>1090</v>
      </c>
      <c r="U31" s="15" t="s">
        <v>1155</v>
      </c>
      <c r="V31" s="15" t="n">
        <v>12103</v>
      </c>
      <c r="W31" s="15" t="n">
        <v>10627</v>
      </c>
      <c r="X31" s="15" t="s">
        <v>1156</v>
      </c>
      <c r="Y31" s="15" t="n">
        <v>-0.12195323473519</v>
      </c>
    </row>
    <row r="32" customFormat="false" ht="13.8" hidden="true" customHeight="false" outlineLevel="0" collapsed="false">
      <c r="A32" s="15" t="s">
        <v>1082</v>
      </c>
      <c r="B32" s="15" t="s">
        <v>1150</v>
      </c>
      <c r="C32" s="15" t="n">
        <v>2010</v>
      </c>
      <c r="D32" s="15" t="s">
        <v>144</v>
      </c>
      <c r="E32" s="15" t="s">
        <v>1151</v>
      </c>
      <c r="F32" s="15" t="s">
        <v>1152</v>
      </c>
      <c r="H32" s="15" t="s">
        <v>1157</v>
      </c>
      <c r="I32" s="16" t="n">
        <v>1.74</v>
      </c>
      <c r="J32" s="16" t="n">
        <v>1.48</v>
      </c>
      <c r="K32" s="15" t="s">
        <v>1158</v>
      </c>
      <c r="L32" s="16" t="n">
        <v>22</v>
      </c>
      <c r="M32" s="16" t="n">
        <v>16</v>
      </c>
      <c r="N32" s="15" t="s">
        <v>1159</v>
      </c>
      <c r="P32" s="15" t="n">
        <v>-0.149425287356322</v>
      </c>
      <c r="Q32" s="15" t="s">
        <v>1160</v>
      </c>
      <c r="R32" s="15" t="n">
        <v>-0.272727272727273</v>
      </c>
      <c r="S32" s="15" t="s">
        <v>1160</v>
      </c>
      <c r="T32" s="15" t="s">
        <v>1090</v>
      </c>
      <c r="U32" s="15" t="s">
        <v>1155</v>
      </c>
      <c r="V32" s="15" t="n">
        <v>12103</v>
      </c>
      <c r="W32" s="15" t="n">
        <v>10627</v>
      </c>
      <c r="X32" s="15" t="s">
        <v>1156</v>
      </c>
      <c r="Y32" s="15" t="n">
        <v>-0.12195323473519</v>
      </c>
    </row>
    <row r="33" customFormat="false" ht="13.8" hidden="false" customHeight="false" outlineLevel="0" collapsed="false">
      <c r="A33" s="15" t="s">
        <v>1082</v>
      </c>
      <c r="B33" s="15" t="s">
        <v>1150</v>
      </c>
      <c r="C33" s="15" t="n">
        <v>2010</v>
      </c>
      <c r="D33" s="15" t="s">
        <v>144</v>
      </c>
      <c r="E33" s="15" t="s">
        <v>1151</v>
      </c>
      <c r="F33" s="15" t="s">
        <v>1152</v>
      </c>
      <c r="H33" s="15" t="s">
        <v>403</v>
      </c>
      <c r="I33" s="16" t="n">
        <v>409</v>
      </c>
      <c r="J33" s="16" t="n">
        <v>335</v>
      </c>
      <c r="K33" s="15" t="s">
        <v>1139</v>
      </c>
      <c r="L33" s="16" t="n">
        <v>5026</v>
      </c>
      <c r="M33" s="16" t="n">
        <v>3604</v>
      </c>
      <c r="N33" s="15" t="s">
        <v>1161</v>
      </c>
      <c r="P33" s="15" t="n">
        <v>-0.180929095354523</v>
      </c>
      <c r="Q33" s="15" t="s">
        <v>1160</v>
      </c>
      <c r="R33" s="15" t="n">
        <v>-0.282928770393952</v>
      </c>
      <c r="S33" s="15" t="s">
        <v>1160</v>
      </c>
      <c r="T33" s="15" t="s">
        <v>1090</v>
      </c>
      <c r="U33" s="15" t="s">
        <v>1155</v>
      </c>
      <c r="V33" s="15" t="n">
        <v>12103</v>
      </c>
      <c r="W33" s="15" t="n">
        <v>10627</v>
      </c>
      <c r="X33" s="15" t="s">
        <v>1156</v>
      </c>
      <c r="Y33" s="15" t="n">
        <v>-0.12195323473519</v>
      </c>
    </row>
    <row r="34" customFormat="false" ht="13.8" hidden="true" customHeight="false" outlineLevel="0" collapsed="false">
      <c r="A34" s="15" t="s">
        <v>1082</v>
      </c>
      <c r="B34" s="15" t="s">
        <v>1150</v>
      </c>
      <c r="C34" s="15" t="n">
        <v>2010</v>
      </c>
      <c r="D34" s="15" t="s">
        <v>144</v>
      </c>
      <c r="E34" s="15" t="s">
        <v>1151</v>
      </c>
      <c r="F34" s="15" t="s">
        <v>1152</v>
      </c>
      <c r="H34" s="15" t="s">
        <v>1127</v>
      </c>
      <c r="I34" s="16" t="n">
        <v>80</v>
      </c>
      <c r="J34" s="16" t="n">
        <v>79</v>
      </c>
      <c r="K34" s="15" t="s">
        <v>1162</v>
      </c>
      <c r="L34" s="16" t="n">
        <v>1</v>
      </c>
      <c r="M34" s="16" t="n">
        <v>0.87</v>
      </c>
      <c r="N34" s="15" t="s">
        <v>1163</v>
      </c>
      <c r="P34" s="15" t="n">
        <v>-0.0125</v>
      </c>
      <c r="Q34" s="15" t="s">
        <v>1164</v>
      </c>
      <c r="R34" s="15" t="n">
        <v>-0.13</v>
      </c>
      <c r="S34" s="15" t="s">
        <v>1160</v>
      </c>
      <c r="T34" s="15" t="s">
        <v>1090</v>
      </c>
      <c r="U34" s="15" t="s">
        <v>1155</v>
      </c>
      <c r="V34" s="15" t="n">
        <v>12103</v>
      </c>
      <c r="W34" s="15" t="n">
        <v>10627</v>
      </c>
      <c r="X34" s="15" t="s">
        <v>1156</v>
      </c>
      <c r="Y34" s="15" t="n">
        <v>-0.12195323473519</v>
      </c>
    </row>
    <row r="35" customFormat="false" ht="13.8" hidden="true" customHeight="false" outlineLevel="0" collapsed="false">
      <c r="A35" s="15" t="s">
        <v>1082</v>
      </c>
      <c r="B35" s="15" t="s">
        <v>1150</v>
      </c>
      <c r="C35" s="15" t="n">
        <v>2010</v>
      </c>
      <c r="D35" s="15" t="s">
        <v>144</v>
      </c>
      <c r="E35" s="15" t="s">
        <v>1151</v>
      </c>
      <c r="F35" s="15" t="s">
        <v>1152</v>
      </c>
      <c r="H35" s="15" t="s">
        <v>1165</v>
      </c>
      <c r="I35" s="16" t="n">
        <v>11.7</v>
      </c>
      <c r="J35" s="16" t="n">
        <v>11.4</v>
      </c>
      <c r="K35" s="15" t="s">
        <v>1166</v>
      </c>
      <c r="L35" s="16" t="n">
        <v>143</v>
      </c>
      <c r="M35" s="16" t="n">
        <v>123</v>
      </c>
      <c r="N35" s="15" t="s">
        <v>1167</v>
      </c>
      <c r="P35" s="15" t="n">
        <v>-0.0256410256410256</v>
      </c>
      <c r="Q35" s="15" t="s">
        <v>1164</v>
      </c>
      <c r="R35" s="15" t="n">
        <v>-0.13986013986014</v>
      </c>
      <c r="S35" s="15" t="s">
        <v>1160</v>
      </c>
      <c r="T35" s="15" t="s">
        <v>1090</v>
      </c>
      <c r="U35" s="15" t="s">
        <v>1155</v>
      </c>
      <c r="V35" s="15" t="n">
        <v>12103</v>
      </c>
      <c r="W35" s="15" t="n">
        <v>10627</v>
      </c>
      <c r="X35" s="15" t="s">
        <v>1156</v>
      </c>
      <c r="Y35" s="15" t="n">
        <v>-0.12195323473519</v>
      </c>
    </row>
    <row r="36" customFormat="false" ht="13.8" hidden="true" customHeight="false" outlineLevel="0" collapsed="false">
      <c r="A36" s="15" t="s">
        <v>1082</v>
      </c>
      <c r="B36" s="15" t="s">
        <v>1150</v>
      </c>
      <c r="C36" s="15" t="n">
        <v>2010</v>
      </c>
      <c r="D36" s="15" t="s">
        <v>144</v>
      </c>
      <c r="E36" s="15" t="s">
        <v>1151</v>
      </c>
      <c r="F36" s="15" t="s">
        <v>1152</v>
      </c>
      <c r="H36" s="15" t="s">
        <v>1130</v>
      </c>
      <c r="I36" s="16" t="n">
        <v>8</v>
      </c>
      <c r="J36" s="16" t="n">
        <v>8.6</v>
      </c>
      <c r="K36" s="15" t="s">
        <v>1168</v>
      </c>
      <c r="L36" s="16" t="n">
        <v>97</v>
      </c>
      <c r="M36" s="16" t="n">
        <v>93</v>
      </c>
      <c r="N36" s="15" t="s">
        <v>1169</v>
      </c>
      <c r="P36" s="15" t="n">
        <v>0.075</v>
      </c>
      <c r="Q36" s="15" t="s">
        <v>1164</v>
      </c>
      <c r="R36" s="15" t="n">
        <v>-0.0412371134020618</v>
      </c>
      <c r="S36" s="15" t="s">
        <v>1164</v>
      </c>
      <c r="T36" s="15" t="s">
        <v>1090</v>
      </c>
      <c r="U36" s="15" t="s">
        <v>1155</v>
      </c>
      <c r="V36" s="15" t="n">
        <v>12103</v>
      </c>
      <c r="W36" s="15" t="n">
        <v>10627</v>
      </c>
      <c r="X36" s="15" t="s">
        <v>1156</v>
      </c>
      <c r="Y36" s="15" t="n">
        <v>-0.12195323473519</v>
      </c>
    </row>
    <row r="37" customFormat="false" ht="13.8" hidden="true" customHeight="false" outlineLevel="0" collapsed="false">
      <c r="A37" s="15" t="s">
        <v>1082</v>
      </c>
      <c r="B37" s="15" t="s">
        <v>1150</v>
      </c>
      <c r="C37" s="15" t="n">
        <v>2010</v>
      </c>
      <c r="D37" s="15" t="s">
        <v>144</v>
      </c>
      <c r="E37" s="15" t="s">
        <v>1151</v>
      </c>
      <c r="F37" s="15" t="s">
        <v>1152</v>
      </c>
      <c r="H37" s="15" t="s">
        <v>1170</v>
      </c>
      <c r="I37" s="16" t="n">
        <v>0.08</v>
      </c>
      <c r="J37" s="16" t="n">
        <v>0.06</v>
      </c>
      <c r="K37" s="15" t="s">
        <v>1171</v>
      </c>
      <c r="L37" s="16" t="n">
        <v>1012</v>
      </c>
      <c r="M37" s="16" t="n">
        <v>603</v>
      </c>
      <c r="N37" s="15" t="s">
        <v>1172</v>
      </c>
      <c r="P37" s="15" t="n">
        <v>-0.25</v>
      </c>
      <c r="Q37" s="15" t="s">
        <v>1160</v>
      </c>
      <c r="R37" s="15" t="n">
        <v>-0.404150197628459</v>
      </c>
      <c r="S37" s="15" t="s">
        <v>1160</v>
      </c>
      <c r="T37" s="15" t="s">
        <v>1090</v>
      </c>
      <c r="U37" s="15" t="s">
        <v>1155</v>
      </c>
      <c r="V37" s="15" t="n">
        <v>12103</v>
      </c>
      <c r="W37" s="15" t="n">
        <v>10627</v>
      </c>
      <c r="X37" s="15" t="s">
        <v>1156</v>
      </c>
      <c r="Y37" s="15" t="n">
        <v>-0.12195323473519</v>
      </c>
    </row>
    <row r="38" customFormat="false" ht="13.8" hidden="true" customHeight="false" outlineLevel="0" collapsed="false">
      <c r="A38" s="15" t="s">
        <v>1082</v>
      </c>
      <c r="B38" s="15" t="s">
        <v>1150</v>
      </c>
      <c r="C38" s="15" t="n">
        <v>2010</v>
      </c>
      <c r="D38" s="15" t="s">
        <v>144</v>
      </c>
      <c r="E38" s="15" t="s">
        <v>1151</v>
      </c>
      <c r="F38" s="15" t="s">
        <v>1152</v>
      </c>
      <c r="H38" s="15" t="s">
        <v>1173</v>
      </c>
      <c r="I38" s="16" t="n">
        <v>0.27</v>
      </c>
      <c r="J38" s="16" t="n">
        <v>0</v>
      </c>
      <c r="K38" s="15" t="s">
        <v>1174</v>
      </c>
      <c r="L38" s="16" t="n">
        <v>3233</v>
      </c>
      <c r="M38" s="16" t="n">
        <v>51</v>
      </c>
      <c r="N38" s="15" t="s">
        <v>1175</v>
      </c>
      <c r="P38" s="15" t="n">
        <v>-1</v>
      </c>
      <c r="Q38" s="15" t="s">
        <v>1160</v>
      </c>
      <c r="R38" s="15" t="n">
        <v>-0.984225177853387</v>
      </c>
      <c r="S38" s="15" t="s">
        <v>1160</v>
      </c>
      <c r="T38" s="15" t="s">
        <v>1090</v>
      </c>
      <c r="U38" s="15" t="s">
        <v>1155</v>
      </c>
      <c r="V38" s="15" t="n">
        <v>12103</v>
      </c>
      <c r="W38" s="15" t="n">
        <v>10627</v>
      </c>
      <c r="X38" s="15" t="s">
        <v>1156</v>
      </c>
      <c r="Y38" s="15" t="n">
        <v>-0.12195323473519</v>
      </c>
    </row>
    <row r="39" customFormat="false" ht="13.8" hidden="true" customHeight="false" outlineLevel="0" collapsed="false">
      <c r="A39" s="15" t="s">
        <v>1082</v>
      </c>
      <c r="B39" s="15" t="s">
        <v>1150</v>
      </c>
      <c r="C39" s="15" t="n">
        <v>2010</v>
      </c>
      <c r="D39" s="15" t="s">
        <v>144</v>
      </c>
      <c r="E39" s="15" t="s">
        <v>1151</v>
      </c>
      <c r="F39" s="15" t="s">
        <v>1152</v>
      </c>
      <c r="H39" s="15" t="s">
        <v>1176</v>
      </c>
      <c r="I39" s="16" t="n">
        <v>0.05</v>
      </c>
      <c r="J39" s="16" t="n">
        <v>0.04</v>
      </c>
      <c r="K39" s="15" t="s">
        <v>1177</v>
      </c>
      <c r="L39" s="16" t="n">
        <v>631</v>
      </c>
      <c r="M39" s="16" t="n">
        <v>414</v>
      </c>
      <c r="N39" s="15" t="s">
        <v>1178</v>
      </c>
      <c r="P39" s="15" t="n">
        <v>-0.2</v>
      </c>
      <c r="Q39" s="15" t="s">
        <v>1160</v>
      </c>
      <c r="R39" s="15" t="n">
        <v>-0.343898573692552</v>
      </c>
      <c r="S39" s="15" t="s">
        <v>1160</v>
      </c>
      <c r="T39" s="15" t="s">
        <v>1090</v>
      </c>
      <c r="U39" s="15" t="s">
        <v>1155</v>
      </c>
      <c r="V39" s="15" t="n">
        <v>12103</v>
      </c>
      <c r="W39" s="15" t="n">
        <v>10627</v>
      </c>
      <c r="X39" s="15" t="s">
        <v>1156</v>
      </c>
      <c r="Y39" s="15" t="n">
        <v>-0.12195323473519</v>
      </c>
    </row>
    <row r="40" customFormat="false" ht="13.8" hidden="true" customHeight="false" outlineLevel="0" collapsed="false">
      <c r="A40" s="15" t="s">
        <v>1082</v>
      </c>
      <c r="B40" s="15" t="s">
        <v>1150</v>
      </c>
      <c r="C40" s="15" t="n">
        <v>2010</v>
      </c>
      <c r="D40" s="15" t="s">
        <v>144</v>
      </c>
      <c r="E40" s="15" t="s">
        <v>1151</v>
      </c>
      <c r="F40" s="15" t="s">
        <v>1152</v>
      </c>
      <c r="H40" s="15" t="s">
        <v>1153</v>
      </c>
      <c r="I40" s="16" t="n">
        <v>0.77</v>
      </c>
      <c r="J40" s="16" t="n">
        <v>0.84</v>
      </c>
      <c r="K40" s="15" t="s">
        <v>1154</v>
      </c>
      <c r="L40" s="16" t="s">
        <v>628</v>
      </c>
      <c r="M40" s="16" t="s">
        <v>628</v>
      </c>
      <c r="N40" s="15" t="s">
        <v>628</v>
      </c>
      <c r="P40" s="15" t="n">
        <v>0.0909090909090908</v>
      </c>
      <c r="Q40" s="15" t="s">
        <v>1089</v>
      </c>
      <c r="R40" s="15" t="s">
        <v>628</v>
      </c>
      <c r="S40" s="15" t="s">
        <v>628</v>
      </c>
      <c r="T40" s="15" t="s">
        <v>1090</v>
      </c>
      <c r="U40" s="15" t="s">
        <v>1155</v>
      </c>
      <c r="V40" s="15" t="n">
        <v>13025</v>
      </c>
      <c r="W40" s="15" t="n">
        <v>11914</v>
      </c>
      <c r="X40" s="15" t="s">
        <v>1156</v>
      </c>
      <c r="Y40" s="15" t="n">
        <v>-0.0852975047984645</v>
      </c>
    </row>
    <row r="41" customFormat="false" ht="13.8" hidden="true" customHeight="false" outlineLevel="0" collapsed="false">
      <c r="A41" s="15" t="s">
        <v>1082</v>
      </c>
      <c r="B41" s="15" t="s">
        <v>1150</v>
      </c>
      <c r="C41" s="15" t="n">
        <v>2010</v>
      </c>
      <c r="D41" s="15" t="s">
        <v>144</v>
      </c>
      <c r="E41" s="15" t="s">
        <v>1151</v>
      </c>
      <c r="F41" s="15" t="s">
        <v>1152</v>
      </c>
      <c r="H41" s="15" t="s">
        <v>1157</v>
      </c>
      <c r="I41" s="16" t="n">
        <v>0.96</v>
      </c>
      <c r="J41" s="16" t="n">
        <v>0.78</v>
      </c>
      <c r="K41" s="15" t="s">
        <v>1158</v>
      </c>
      <c r="L41" s="16" t="n">
        <v>13</v>
      </c>
      <c r="M41" s="16" t="n">
        <v>10</v>
      </c>
      <c r="N41" s="15" t="s">
        <v>1159</v>
      </c>
      <c r="P41" s="15" t="n">
        <v>-0.1875</v>
      </c>
      <c r="Q41" s="15" t="s">
        <v>1160</v>
      </c>
      <c r="R41" s="15" t="n">
        <v>-0.230769230769231</v>
      </c>
      <c r="S41" s="15" t="s">
        <v>1160</v>
      </c>
      <c r="T41" s="15" t="s">
        <v>1090</v>
      </c>
      <c r="U41" s="15" t="s">
        <v>1155</v>
      </c>
      <c r="V41" s="15" t="n">
        <v>13025</v>
      </c>
      <c r="W41" s="15" t="n">
        <v>11914</v>
      </c>
      <c r="X41" s="15" t="s">
        <v>1156</v>
      </c>
      <c r="Y41" s="15" t="n">
        <v>-0.0852975047984645</v>
      </c>
    </row>
    <row r="42" customFormat="false" ht="13.8" hidden="false" customHeight="false" outlineLevel="0" collapsed="false">
      <c r="A42" s="15" t="s">
        <v>1082</v>
      </c>
      <c r="B42" s="15" t="s">
        <v>1150</v>
      </c>
      <c r="C42" s="15" t="n">
        <v>2010</v>
      </c>
      <c r="D42" s="15" t="s">
        <v>144</v>
      </c>
      <c r="E42" s="15" t="s">
        <v>1151</v>
      </c>
      <c r="F42" s="15" t="s">
        <v>1152</v>
      </c>
      <c r="H42" s="15" t="s">
        <v>403</v>
      </c>
      <c r="I42" s="16" t="n">
        <v>284</v>
      </c>
      <c r="J42" s="16" t="n">
        <v>217</v>
      </c>
      <c r="K42" s="15" t="s">
        <v>1139</v>
      </c>
      <c r="L42" s="16" t="n">
        <v>3773</v>
      </c>
      <c r="M42" s="16" t="n">
        <v>2633</v>
      </c>
      <c r="N42" s="15" t="s">
        <v>1161</v>
      </c>
      <c r="P42" s="15" t="n">
        <v>-0.235915492957747</v>
      </c>
      <c r="Q42" s="15" t="s">
        <v>1160</v>
      </c>
      <c r="R42" s="15" t="n">
        <v>-0.302146832759078</v>
      </c>
      <c r="S42" s="15" t="s">
        <v>1160</v>
      </c>
      <c r="T42" s="15" t="s">
        <v>1090</v>
      </c>
      <c r="U42" s="15" t="s">
        <v>1155</v>
      </c>
      <c r="V42" s="15" t="n">
        <v>13025</v>
      </c>
      <c r="W42" s="15" t="n">
        <v>11914</v>
      </c>
      <c r="X42" s="15" t="s">
        <v>1156</v>
      </c>
      <c r="Y42" s="15" t="n">
        <v>-0.0852975047984645</v>
      </c>
    </row>
    <row r="43" customFormat="false" ht="13.8" hidden="true" customHeight="false" outlineLevel="0" collapsed="false">
      <c r="A43" s="15" t="s">
        <v>1082</v>
      </c>
      <c r="B43" s="15" t="s">
        <v>1150</v>
      </c>
      <c r="C43" s="15" t="n">
        <v>2010</v>
      </c>
      <c r="D43" s="15" t="s">
        <v>144</v>
      </c>
      <c r="E43" s="15" t="s">
        <v>1151</v>
      </c>
      <c r="F43" s="15" t="s">
        <v>1152</v>
      </c>
      <c r="H43" s="15" t="s">
        <v>1127</v>
      </c>
      <c r="I43" s="16" t="n">
        <v>56</v>
      </c>
      <c r="J43" s="16" t="n">
        <v>51</v>
      </c>
      <c r="K43" s="15" t="s">
        <v>1162</v>
      </c>
      <c r="L43" s="16" t="n">
        <v>0.76</v>
      </c>
      <c r="M43" s="16" t="n">
        <v>0.63</v>
      </c>
      <c r="N43" s="15" t="s">
        <v>1163</v>
      </c>
      <c r="P43" s="15" t="n">
        <v>-0.0892857142857143</v>
      </c>
      <c r="Q43" s="15" t="s">
        <v>1160</v>
      </c>
      <c r="R43" s="15" t="n">
        <v>-0.171052631578947</v>
      </c>
      <c r="S43" s="15" t="s">
        <v>1160</v>
      </c>
      <c r="T43" s="15" t="s">
        <v>1090</v>
      </c>
      <c r="U43" s="15" t="s">
        <v>1155</v>
      </c>
      <c r="V43" s="15" t="n">
        <v>13025</v>
      </c>
      <c r="W43" s="15" t="n">
        <v>11914</v>
      </c>
      <c r="X43" s="15" t="s">
        <v>1156</v>
      </c>
      <c r="Y43" s="15" t="n">
        <v>-0.0852975047984645</v>
      </c>
    </row>
    <row r="44" customFormat="false" ht="13.8" hidden="true" customHeight="false" outlineLevel="0" collapsed="false">
      <c r="A44" s="15" t="s">
        <v>1082</v>
      </c>
      <c r="B44" s="15" t="s">
        <v>1150</v>
      </c>
      <c r="C44" s="15" t="n">
        <v>2010</v>
      </c>
      <c r="D44" s="15" t="s">
        <v>144</v>
      </c>
      <c r="E44" s="15" t="s">
        <v>1151</v>
      </c>
      <c r="F44" s="15" t="s">
        <v>1152</v>
      </c>
      <c r="H44" s="15" t="s">
        <v>1165</v>
      </c>
      <c r="I44" s="16" t="n">
        <v>10.1</v>
      </c>
      <c r="J44" s="16" t="n">
        <v>8.5</v>
      </c>
      <c r="K44" s="15" t="s">
        <v>1166</v>
      </c>
      <c r="L44" s="16" t="n">
        <v>134</v>
      </c>
      <c r="M44" s="16" t="n">
        <v>103</v>
      </c>
      <c r="N44" s="15" t="s">
        <v>1167</v>
      </c>
      <c r="P44" s="15" t="n">
        <v>-0.158415841584158</v>
      </c>
      <c r="Q44" s="15" t="s">
        <v>1160</v>
      </c>
      <c r="R44" s="15" t="n">
        <v>-0.23134328358209</v>
      </c>
      <c r="S44" s="15" t="s">
        <v>1160</v>
      </c>
      <c r="T44" s="15" t="s">
        <v>1090</v>
      </c>
      <c r="U44" s="15" t="s">
        <v>1155</v>
      </c>
      <c r="V44" s="15" t="n">
        <v>13025</v>
      </c>
      <c r="W44" s="15" t="n">
        <v>11914</v>
      </c>
      <c r="X44" s="15" t="s">
        <v>1156</v>
      </c>
      <c r="Y44" s="15" t="n">
        <v>-0.0852975047984645</v>
      </c>
    </row>
    <row r="45" customFormat="false" ht="13.8" hidden="true" customHeight="false" outlineLevel="0" collapsed="false">
      <c r="A45" s="15" t="s">
        <v>1082</v>
      </c>
      <c r="B45" s="15" t="s">
        <v>1150</v>
      </c>
      <c r="C45" s="15" t="n">
        <v>2010</v>
      </c>
      <c r="D45" s="15" t="s">
        <v>144</v>
      </c>
      <c r="E45" s="15" t="s">
        <v>1151</v>
      </c>
      <c r="F45" s="15" t="s">
        <v>1152</v>
      </c>
      <c r="H45" s="15" t="s">
        <v>1130</v>
      </c>
      <c r="I45" s="16" t="n">
        <v>7.4</v>
      </c>
      <c r="J45" s="16" t="n">
        <v>6.7</v>
      </c>
      <c r="K45" s="15" t="s">
        <v>1168</v>
      </c>
      <c r="L45" s="16" t="n">
        <v>97</v>
      </c>
      <c r="M45" s="16" t="n">
        <v>81</v>
      </c>
      <c r="N45" s="15" t="s">
        <v>1169</v>
      </c>
      <c r="P45" s="15" t="n">
        <v>-0.0945945945945946</v>
      </c>
      <c r="Q45" s="15" t="s">
        <v>1164</v>
      </c>
      <c r="R45" s="15" t="n">
        <v>-0.164948453608247</v>
      </c>
      <c r="S45" s="15" t="s">
        <v>1160</v>
      </c>
      <c r="T45" s="15" t="s">
        <v>1090</v>
      </c>
      <c r="U45" s="15" t="s">
        <v>1155</v>
      </c>
      <c r="V45" s="15" t="n">
        <v>13025</v>
      </c>
      <c r="W45" s="15" t="n">
        <v>11914</v>
      </c>
      <c r="X45" s="15" t="s">
        <v>1156</v>
      </c>
      <c r="Y45" s="15" t="n">
        <v>-0.0852975047984645</v>
      </c>
    </row>
    <row r="46" customFormat="false" ht="13.8" hidden="true" customHeight="false" outlineLevel="0" collapsed="false">
      <c r="A46" s="15" t="s">
        <v>1082</v>
      </c>
      <c r="B46" s="15" t="s">
        <v>1150</v>
      </c>
      <c r="C46" s="15" t="n">
        <v>2010</v>
      </c>
      <c r="D46" s="15" t="s">
        <v>144</v>
      </c>
      <c r="E46" s="15" t="s">
        <v>1151</v>
      </c>
      <c r="F46" s="15" t="s">
        <v>1152</v>
      </c>
      <c r="H46" s="15" t="s">
        <v>1170</v>
      </c>
      <c r="I46" s="16" t="n">
        <v>0.05</v>
      </c>
      <c r="J46" s="16" t="n">
        <v>0.03</v>
      </c>
      <c r="K46" s="15" t="s">
        <v>1171</v>
      </c>
      <c r="L46" s="16" t="n">
        <v>624</v>
      </c>
      <c r="M46" s="16" t="n">
        <v>400</v>
      </c>
      <c r="N46" s="15" t="s">
        <v>1172</v>
      </c>
      <c r="P46" s="15" t="n">
        <v>-0.4</v>
      </c>
      <c r="Q46" s="15" t="s">
        <v>1164</v>
      </c>
      <c r="R46" s="15" t="n">
        <v>-0.358974358974359</v>
      </c>
      <c r="S46" s="15" t="s">
        <v>1164</v>
      </c>
      <c r="T46" s="15" t="s">
        <v>1090</v>
      </c>
      <c r="U46" s="15" t="s">
        <v>1155</v>
      </c>
      <c r="V46" s="15" t="n">
        <v>13025</v>
      </c>
      <c r="W46" s="15" t="n">
        <v>11914</v>
      </c>
      <c r="X46" s="15" t="s">
        <v>1156</v>
      </c>
      <c r="Y46" s="15" t="n">
        <v>-0.0852975047984645</v>
      </c>
    </row>
    <row r="47" customFormat="false" ht="13.8" hidden="true" customHeight="false" outlineLevel="0" collapsed="false">
      <c r="A47" s="15" t="s">
        <v>1082</v>
      </c>
      <c r="B47" s="15" t="s">
        <v>1150</v>
      </c>
      <c r="C47" s="15" t="n">
        <v>2010</v>
      </c>
      <c r="D47" s="15" t="s">
        <v>144</v>
      </c>
      <c r="E47" s="15" t="s">
        <v>1151</v>
      </c>
      <c r="F47" s="15" t="s">
        <v>1152</v>
      </c>
      <c r="H47" s="15" t="s">
        <v>1173</v>
      </c>
      <c r="I47" s="16" t="n">
        <v>0.05</v>
      </c>
      <c r="J47" s="16" t="n">
        <v>0</v>
      </c>
      <c r="K47" s="15" t="s">
        <v>1174</v>
      </c>
      <c r="L47" s="16" t="n">
        <v>699</v>
      </c>
      <c r="M47" s="16" t="n">
        <v>37</v>
      </c>
      <c r="N47" s="15" t="s">
        <v>1175</v>
      </c>
      <c r="P47" s="15" t="n">
        <v>-1</v>
      </c>
      <c r="Q47" s="15" t="s">
        <v>1164</v>
      </c>
      <c r="R47" s="15" t="n">
        <v>-0.947067238912733</v>
      </c>
      <c r="S47" s="15" t="s">
        <v>1164</v>
      </c>
      <c r="T47" s="15" t="s">
        <v>1090</v>
      </c>
      <c r="U47" s="15" t="s">
        <v>1155</v>
      </c>
      <c r="V47" s="15" t="n">
        <v>13025</v>
      </c>
      <c r="W47" s="15" t="n">
        <v>11914</v>
      </c>
      <c r="X47" s="15" t="s">
        <v>1156</v>
      </c>
      <c r="Y47" s="15" t="n">
        <v>-0.0852975047984645</v>
      </c>
    </row>
    <row r="48" customFormat="false" ht="13.8" hidden="true" customHeight="false" outlineLevel="0" collapsed="false">
      <c r="A48" s="15" t="s">
        <v>1082</v>
      </c>
      <c r="B48" s="15" t="s">
        <v>1150</v>
      </c>
      <c r="C48" s="15" t="n">
        <v>2010</v>
      </c>
      <c r="D48" s="15" t="s">
        <v>144</v>
      </c>
      <c r="E48" s="15" t="s">
        <v>1151</v>
      </c>
      <c r="F48" s="15" t="s">
        <v>1152</v>
      </c>
      <c r="H48" s="15" t="s">
        <v>1176</v>
      </c>
      <c r="I48" s="16" t="n">
        <v>0.03</v>
      </c>
      <c r="J48" s="16" t="n">
        <v>0.02</v>
      </c>
      <c r="K48" s="15" t="s">
        <v>1177</v>
      </c>
      <c r="L48" s="16" t="n">
        <v>428</v>
      </c>
      <c r="M48" s="16" t="n">
        <v>280</v>
      </c>
      <c r="N48" s="15" t="s">
        <v>1178</v>
      </c>
      <c r="P48" s="15" t="n">
        <v>-0.333333333333333</v>
      </c>
      <c r="Q48" s="15" t="s">
        <v>1160</v>
      </c>
      <c r="R48" s="15" t="n">
        <v>-0.345794392523365</v>
      </c>
      <c r="S48" s="15" t="s">
        <v>1160</v>
      </c>
      <c r="T48" s="15" t="s">
        <v>1090</v>
      </c>
      <c r="U48" s="15" t="s">
        <v>1155</v>
      </c>
      <c r="V48" s="15" t="n">
        <v>13025</v>
      </c>
      <c r="W48" s="15" t="n">
        <v>11914</v>
      </c>
      <c r="X48" s="15" t="s">
        <v>1156</v>
      </c>
      <c r="Y48" s="15" t="n">
        <v>-0.0852975047984645</v>
      </c>
    </row>
    <row r="49" customFormat="false" ht="13.8" hidden="true" customHeight="false" outlineLevel="0" collapsed="false">
      <c r="A49" s="15" t="s">
        <v>1082</v>
      </c>
      <c r="B49" s="15" t="s">
        <v>1150</v>
      </c>
      <c r="C49" s="15" t="n">
        <v>2010</v>
      </c>
      <c r="D49" s="15" t="s">
        <v>144</v>
      </c>
      <c r="E49" s="15" t="s">
        <v>1179</v>
      </c>
      <c r="F49" s="15" t="s">
        <v>1152</v>
      </c>
      <c r="H49" s="15" t="s">
        <v>1153</v>
      </c>
      <c r="I49" s="16" t="n">
        <v>0.99</v>
      </c>
      <c r="J49" s="16" t="n">
        <v>1.29</v>
      </c>
      <c r="K49" s="15" t="s">
        <v>1154</v>
      </c>
      <c r="L49" s="16" t="s">
        <v>628</v>
      </c>
      <c r="M49" s="16" t="s">
        <v>628</v>
      </c>
      <c r="N49" s="15" t="s">
        <v>628</v>
      </c>
      <c r="O49" s="15" t="s">
        <v>1180</v>
      </c>
      <c r="P49" s="15" t="n">
        <v>0.303030303030303</v>
      </c>
      <c r="Q49" s="15" t="s">
        <v>1089</v>
      </c>
      <c r="R49" s="15" t="s">
        <v>628</v>
      </c>
      <c r="S49" s="15" t="s">
        <v>1089</v>
      </c>
      <c r="T49" s="15" t="s">
        <v>1090</v>
      </c>
      <c r="U49" s="15" t="s">
        <v>1155</v>
      </c>
      <c r="V49" s="15" t="n">
        <v>10209</v>
      </c>
      <c r="W49" s="15" t="n">
        <v>7920</v>
      </c>
      <c r="X49" s="15" t="s">
        <v>1156</v>
      </c>
      <c r="Y49" s="15" t="n">
        <v>-0.224213928886277</v>
      </c>
    </row>
    <row r="50" customFormat="false" ht="13.8" hidden="true" customHeight="false" outlineLevel="0" collapsed="false">
      <c r="A50" s="15" t="s">
        <v>1082</v>
      </c>
      <c r="B50" s="15" t="s">
        <v>1150</v>
      </c>
      <c r="C50" s="15" t="n">
        <v>2010</v>
      </c>
      <c r="D50" s="15" t="s">
        <v>144</v>
      </c>
      <c r="E50" s="15" t="s">
        <v>1179</v>
      </c>
      <c r="F50" s="15" t="s">
        <v>1152</v>
      </c>
      <c r="H50" s="15" t="s">
        <v>1157</v>
      </c>
      <c r="I50" s="16" t="n">
        <v>2</v>
      </c>
      <c r="J50" s="16" t="n">
        <v>1.8</v>
      </c>
      <c r="K50" s="15" t="s">
        <v>1158</v>
      </c>
      <c r="L50" s="16" t="n">
        <v>21</v>
      </c>
      <c r="M50" s="16" t="n">
        <v>14.5</v>
      </c>
      <c r="N50" s="15" t="s">
        <v>1159</v>
      </c>
      <c r="O50" s="15" t="s">
        <v>1180</v>
      </c>
      <c r="P50" s="15" t="n">
        <v>-0.1</v>
      </c>
      <c r="Q50" s="15" t="s">
        <v>1089</v>
      </c>
      <c r="R50" s="15" t="n">
        <v>-0.30952380952381</v>
      </c>
      <c r="S50" s="15" t="s">
        <v>1089</v>
      </c>
      <c r="T50" s="15" t="s">
        <v>1090</v>
      </c>
      <c r="U50" s="15" t="s">
        <v>1155</v>
      </c>
      <c r="V50" s="15" t="n">
        <v>10209</v>
      </c>
      <c r="W50" s="15" t="n">
        <v>7920</v>
      </c>
      <c r="X50" s="15" t="s">
        <v>1156</v>
      </c>
      <c r="Y50" s="15" t="n">
        <v>-0.224213928886277</v>
      </c>
    </row>
    <row r="51" customFormat="false" ht="13.8" hidden="false" customHeight="false" outlineLevel="0" collapsed="false">
      <c r="A51" s="15" t="s">
        <v>1082</v>
      </c>
      <c r="B51" s="15" t="s">
        <v>1150</v>
      </c>
      <c r="C51" s="15" t="n">
        <v>2010</v>
      </c>
      <c r="D51" s="15" t="s">
        <v>144</v>
      </c>
      <c r="E51" s="15" t="s">
        <v>1179</v>
      </c>
      <c r="F51" s="15" t="s">
        <v>1152</v>
      </c>
      <c r="H51" s="15" t="s">
        <v>403</v>
      </c>
      <c r="I51" s="16" t="n">
        <v>0.43</v>
      </c>
      <c r="J51" s="16" t="n">
        <v>0.36</v>
      </c>
      <c r="K51" s="15" t="s">
        <v>1139</v>
      </c>
      <c r="L51" s="16" t="n">
        <v>4474</v>
      </c>
      <c r="M51" s="16" t="n">
        <v>2920</v>
      </c>
      <c r="N51" s="15" t="s">
        <v>1161</v>
      </c>
      <c r="O51" s="15" t="s">
        <v>1180</v>
      </c>
      <c r="P51" s="15" t="n">
        <v>-0.162790697674419</v>
      </c>
      <c r="Q51" s="15" t="s">
        <v>1089</v>
      </c>
      <c r="R51" s="15" t="n">
        <v>-0.347340187751453</v>
      </c>
      <c r="S51" s="15" t="s">
        <v>1089</v>
      </c>
      <c r="T51" s="15" t="s">
        <v>1090</v>
      </c>
      <c r="U51" s="15" t="s">
        <v>1155</v>
      </c>
      <c r="V51" s="15" t="n">
        <v>10209</v>
      </c>
      <c r="W51" s="15" t="n">
        <v>7920</v>
      </c>
      <c r="X51" s="15" t="s">
        <v>1156</v>
      </c>
      <c r="Y51" s="15" t="n">
        <v>-0.224213928886277</v>
      </c>
    </row>
    <row r="52" customFormat="false" ht="13.8" hidden="true" customHeight="false" outlineLevel="0" collapsed="false">
      <c r="A52" s="15" t="s">
        <v>1082</v>
      </c>
      <c r="B52" s="15" t="s">
        <v>1150</v>
      </c>
      <c r="C52" s="15" t="n">
        <v>2010</v>
      </c>
      <c r="D52" s="15" t="s">
        <v>144</v>
      </c>
      <c r="E52" s="15" t="s">
        <v>1179</v>
      </c>
      <c r="F52" s="15" t="s">
        <v>1152</v>
      </c>
      <c r="H52" s="15" t="s">
        <v>1127</v>
      </c>
      <c r="I52" s="16" t="n">
        <v>93</v>
      </c>
      <c r="J52" s="16" t="n">
        <v>101</v>
      </c>
      <c r="K52" s="15" t="s">
        <v>1162</v>
      </c>
      <c r="L52" s="16" t="n">
        <v>0.99</v>
      </c>
      <c r="M52" s="16" t="n">
        <v>0.83</v>
      </c>
      <c r="N52" s="15" t="s">
        <v>1163</v>
      </c>
      <c r="O52" s="15" t="s">
        <v>1180</v>
      </c>
      <c r="P52" s="15" t="n">
        <v>0.086021505376344</v>
      </c>
      <c r="Q52" s="15" t="s">
        <v>1089</v>
      </c>
      <c r="R52" s="15" t="n">
        <v>-0.161616161616162</v>
      </c>
      <c r="S52" s="15" t="s">
        <v>1089</v>
      </c>
      <c r="T52" s="15" t="s">
        <v>1090</v>
      </c>
      <c r="U52" s="15" t="s">
        <v>1155</v>
      </c>
      <c r="V52" s="15" t="n">
        <v>10209</v>
      </c>
      <c r="W52" s="15" t="n">
        <v>7920</v>
      </c>
      <c r="X52" s="15" t="s">
        <v>1156</v>
      </c>
      <c r="Y52" s="15" t="n">
        <v>-0.224213928886277</v>
      </c>
    </row>
    <row r="53" customFormat="false" ht="13.8" hidden="true" customHeight="false" outlineLevel="0" collapsed="false">
      <c r="A53" s="15" t="s">
        <v>1082</v>
      </c>
      <c r="B53" s="15" t="s">
        <v>1150</v>
      </c>
      <c r="C53" s="15" t="n">
        <v>2010</v>
      </c>
      <c r="D53" s="15" t="s">
        <v>144</v>
      </c>
      <c r="E53" s="15" t="s">
        <v>1179</v>
      </c>
      <c r="F53" s="15" t="s">
        <v>1152</v>
      </c>
      <c r="H53" s="15" t="s">
        <v>1181</v>
      </c>
      <c r="I53" s="16" t="n">
        <v>1.07</v>
      </c>
      <c r="J53" s="16" t="n">
        <v>0.04</v>
      </c>
      <c r="K53" s="15" t="s">
        <v>1182</v>
      </c>
      <c r="L53" s="16" t="n">
        <v>11.3</v>
      </c>
      <c r="M53" s="16" t="n">
        <v>0.3</v>
      </c>
      <c r="N53" s="15" t="s">
        <v>1183</v>
      </c>
      <c r="O53" s="15" t="s">
        <v>1180</v>
      </c>
      <c r="P53" s="15" t="n">
        <v>-0.962616822429907</v>
      </c>
      <c r="Q53" s="15" t="s">
        <v>1089</v>
      </c>
      <c r="R53" s="15" t="n">
        <v>-0.973451327433628</v>
      </c>
      <c r="S53" s="15" t="s">
        <v>1089</v>
      </c>
      <c r="T53" s="15" t="s">
        <v>1090</v>
      </c>
      <c r="U53" s="15" t="s">
        <v>1155</v>
      </c>
      <c r="V53" s="15" t="n">
        <v>10209</v>
      </c>
      <c r="W53" s="15" t="n">
        <v>7920</v>
      </c>
      <c r="X53" s="15" t="s">
        <v>1156</v>
      </c>
      <c r="Y53" s="15" t="n">
        <v>-0.224213928886277</v>
      </c>
    </row>
    <row r="54" customFormat="false" ht="13.8" hidden="true" customHeight="false" outlineLevel="0" collapsed="false">
      <c r="A54" s="15" t="s">
        <v>1082</v>
      </c>
      <c r="B54" s="15" t="s">
        <v>1150</v>
      </c>
      <c r="C54" s="15" t="n">
        <v>2010</v>
      </c>
      <c r="D54" s="15" t="s">
        <v>144</v>
      </c>
      <c r="E54" s="15" t="s">
        <v>1179</v>
      </c>
      <c r="F54" s="15" t="s">
        <v>1152</v>
      </c>
      <c r="H54" s="15" t="s">
        <v>1184</v>
      </c>
      <c r="I54" s="16" t="n">
        <v>13</v>
      </c>
      <c r="J54" s="16" t="n">
        <v>4.4</v>
      </c>
      <c r="K54" s="15" t="s">
        <v>1185</v>
      </c>
      <c r="L54" s="16" t="n">
        <v>138</v>
      </c>
      <c r="M54" s="16" t="n">
        <v>34</v>
      </c>
      <c r="N54" s="15" t="s">
        <v>1186</v>
      </c>
      <c r="O54" s="15" t="s">
        <v>1180</v>
      </c>
      <c r="P54" s="15" t="n">
        <v>-0.661538461538462</v>
      </c>
      <c r="Q54" s="15" t="s">
        <v>1089</v>
      </c>
      <c r="R54" s="15" t="n">
        <v>-0.753623188405797</v>
      </c>
      <c r="S54" s="15" t="s">
        <v>1089</v>
      </c>
      <c r="T54" s="15" t="s">
        <v>1090</v>
      </c>
      <c r="U54" s="15" t="s">
        <v>1155</v>
      </c>
      <c r="V54" s="15" t="n">
        <v>10209</v>
      </c>
      <c r="W54" s="15" t="n">
        <v>7920</v>
      </c>
      <c r="X54" s="15" t="s">
        <v>1156</v>
      </c>
      <c r="Y54" s="15" t="n">
        <v>-0.224213928886277</v>
      </c>
    </row>
    <row r="55" customFormat="false" ht="13.8" hidden="true" customHeight="false" outlineLevel="0" collapsed="false">
      <c r="A55" s="15" t="s">
        <v>1082</v>
      </c>
      <c r="B55" s="15" t="s">
        <v>1150</v>
      </c>
      <c r="C55" s="15" t="n">
        <v>2010</v>
      </c>
      <c r="D55" s="15" t="s">
        <v>144</v>
      </c>
      <c r="E55" s="15" t="s">
        <v>1179</v>
      </c>
      <c r="F55" s="15" t="s">
        <v>1152</v>
      </c>
      <c r="H55" s="15" t="s">
        <v>1165</v>
      </c>
      <c r="I55" s="16" t="n">
        <v>11.9</v>
      </c>
      <c r="J55" s="16" t="n">
        <v>10.8</v>
      </c>
      <c r="K55" s="15" t="s">
        <v>1187</v>
      </c>
      <c r="L55" s="16" t="n">
        <v>123</v>
      </c>
      <c r="M55" s="16" t="n">
        <v>88</v>
      </c>
      <c r="N55" s="15" t="s">
        <v>1167</v>
      </c>
      <c r="O55" s="15" t="s">
        <v>1180</v>
      </c>
      <c r="P55" s="15" t="n">
        <v>-0.092436974789916</v>
      </c>
      <c r="Q55" s="15" t="s">
        <v>1089</v>
      </c>
      <c r="R55" s="15" t="n">
        <v>-0.284552845528455</v>
      </c>
      <c r="S55" s="15" t="s">
        <v>1089</v>
      </c>
      <c r="T55" s="15" t="s">
        <v>1090</v>
      </c>
      <c r="U55" s="15" t="s">
        <v>1155</v>
      </c>
      <c r="V55" s="15" t="n">
        <v>10209</v>
      </c>
      <c r="W55" s="15" t="n">
        <v>7920</v>
      </c>
      <c r="X55" s="15" t="s">
        <v>1156</v>
      </c>
      <c r="Y55" s="15" t="n">
        <v>-0.224213928886277</v>
      </c>
    </row>
    <row r="56" customFormat="false" ht="13.8" hidden="true" customHeight="false" outlineLevel="0" collapsed="false">
      <c r="A56" s="15" t="s">
        <v>1082</v>
      </c>
      <c r="B56" s="15" t="s">
        <v>1150</v>
      </c>
      <c r="C56" s="15" t="n">
        <v>2010</v>
      </c>
      <c r="D56" s="15" t="s">
        <v>144</v>
      </c>
      <c r="E56" s="15" t="s">
        <v>1179</v>
      </c>
      <c r="F56" s="15" t="s">
        <v>1152</v>
      </c>
      <c r="H56" s="15" t="s">
        <v>1130</v>
      </c>
      <c r="I56" s="16" t="n">
        <v>8.66</v>
      </c>
      <c r="J56" s="16" t="n">
        <v>7.72</v>
      </c>
      <c r="K56" s="15" t="s">
        <v>1168</v>
      </c>
      <c r="L56" s="16" t="n">
        <v>88</v>
      </c>
      <c r="M56" s="16" t="n">
        <v>61</v>
      </c>
      <c r="N56" s="15" t="s">
        <v>1169</v>
      </c>
      <c r="O56" s="15" t="s">
        <v>1180</v>
      </c>
      <c r="P56" s="15" t="n">
        <v>-0.108545034642032</v>
      </c>
      <c r="Q56" s="15" t="s">
        <v>1089</v>
      </c>
      <c r="R56" s="15" t="n">
        <v>-0.306818181818182</v>
      </c>
      <c r="S56" s="15" t="s">
        <v>1089</v>
      </c>
      <c r="T56" s="15" t="s">
        <v>1090</v>
      </c>
      <c r="U56" s="15" t="s">
        <v>1155</v>
      </c>
      <c r="V56" s="15" t="n">
        <v>10209</v>
      </c>
      <c r="W56" s="15" t="n">
        <v>7920</v>
      </c>
      <c r="X56" s="15" t="s">
        <v>1156</v>
      </c>
      <c r="Y56" s="15" t="n">
        <v>-0.224213928886277</v>
      </c>
    </row>
    <row r="57" customFormat="false" ht="13.8" hidden="true" customHeight="false" outlineLevel="0" collapsed="false">
      <c r="A57" s="15" t="s">
        <v>1082</v>
      </c>
      <c r="B57" s="15" t="s">
        <v>1150</v>
      </c>
      <c r="C57" s="15" t="n">
        <v>2010</v>
      </c>
      <c r="D57" s="15" t="s">
        <v>144</v>
      </c>
      <c r="E57" s="15" t="s">
        <v>1179</v>
      </c>
      <c r="F57" s="15" t="s">
        <v>1152</v>
      </c>
      <c r="H57" s="15" t="s">
        <v>1170</v>
      </c>
      <c r="I57" s="16" t="n">
        <v>0.63</v>
      </c>
      <c r="J57" s="16" t="n">
        <v>0.1</v>
      </c>
      <c r="K57" s="15" t="s">
        <v>1171</v>
      </c>
      <c r="L57" s="16" t="n">
        <v>6477</v>
      </c>
      <c r="M57" s="16" t="n">
        <v>816</v>
      </c>
      <c r="N57" s="15" t="s">
        <v>1172</v>
      </c>
      <c r="O57" s="15" t="s">
        <v>1180</v>
      </c>
      <c r="P57" s="15" t="n">
        <v>-0.841269841269841</v>
      </c>
      <c r="Q57" s="15" t="s">
        <v>1089</v>
      </c>
      <c r="R57" s="15" t="n">
        <v>-0.874015748031496</v>
      </c>
      <c r="S57" s="15" t="s">
        <v>1089</v>
      </c>
      <c r="T57" s="15" t="s">
        <v>1090</v>
      </c>
      <c r="U57" s="15" t="s">
        <v>1155</v>
      </c>
      <c r="V57" s="15" t="n">
        <v>10209</v>
      </c>
      <c r="W57" s="15" t="n">
        <v>7920</v>
      </c>
      <c r="X57" s="15" t="s">
        <v>1156</v>
      </c>
      <c r="Y57" s="15" t="n">
        <v>-0.224213928886277</v>
      </c>
    </row>
    <row r="58" customFormat="false" ht="13.8" hidden="true" customHeight="false" outlineLevel="0" collapsed="false">
      <c r="A58" s="15" t="s">
        <v>1082</v>
      </c>
      <c r="B58" s="15" t="s">
        <v>1150</v>
      </c>
      <c r="C58" s="15" t="n">
        <v>2010</v>
      </c>
      <c r="D58" s="15" t="s">
        <v>144</v>
      </c>
      <c r="E58" s="15" t="s">
        <v>1179</v>
      </c>
      <c r="F58" s="15" t="s">
        <v>1152</v>
      </c>
      <c r="H58" s="15" t="s">
        <v>1173</v>
      </c>
      <c r="I58" s="16" t="n">
        <v>0.57</v>
      </c>
      <c r="J58" s="16" t="n">
        <v>0.01</v>
      </c>
      <c r="K58" s="15" t="s">
        <v>1174</v>
      </c>
      <c r="L58" s="16" t="n">
        <v>6187</v>
      </c>
      <c r="M58" s="16" t="n">
        <v>60</v>
      </c>
      <c r="N58" s="15" t="s">
        <v>1175</v>
      </c>
      <c r="O58" s="15" t="s">
        <v>1180</v>
      </c>
      <c r="P58" s="15" t="n">
        <v>-0.982456140350877</v>
      </c>
      <c r="Q58" s="15" t="s">
        <v>1089</v>
      </c>
      <c r="R58" s="15" t="n">
        <v>-0.990302246646194</v>
      </c>
      <c r="S58" s="15" t="s">
        <v>1089</v>
      </c>
      <c r="T58" s="15" t="s">
        <v>1090</v>
      </c>
      <c r="U58" s="15" t="s">
        <v>1155</v>
      </c>
      <c r="V58" s="15" t="n">
        <v>10209</v>
      </c>
      <c r="W58" s="15" t="n">
        <v>7920</v>
      </c>
      <c r="X58" s="15" t="s">
        <v>1156</v>
      </c>
      <c r="Y58" s="15" t="n">
        <v>-0.224213928886277</v>
      </c>
    </row>
    <row r="59" customFormat="false" ht="13.8" hidden="true" customHeight="false" outlineLevel="0" collapsed="false">
      <c r="A59" s="15" t="s">
        <v>1082</v>
      </c>
      <c r="B59" s="15" t="s">
        <v>1150</v>
      </c>
      <c r="C59" s="15" t="n">
        <v>2010</v>
      </c>
      <c r="D59" s="15" t="s">
        <v>144</v>
      </c>
      <c r="E59" s="15" t="s">
        <v>1179</v>
      </c>
      <c r="F59" s="15" t="s">
        <v>1152</v>
      </c>
      <c r="H59" s="15" t="s">
        <v>1176</v>
      </c>
      <c r="I59" s="16" t="n">
        <v>0.12</v>
      </c>
      <c r="J59" s="16" t="n">
        <v>0.06</v>
      </c>
      <c r="K59" s="15" t="s">
        <v>1177</v>
      </c>
      <c r="L59" s="16" t="n">
        <v>1286</v>
      </c>
      <c r="M59" s="16" t="n">
        <v>446</v>
      </c>
      <c r="N59" s="15" t="s">
        <v>1178</v>
      </c>
      <c r="O59" s="15" t="s">
        <v>1180</v>
      </c>
      <c r="P59" s="15" t="n">
        <v>-0.5</v>
      </c>
      <c r="Q59" s="15" t="s">
        <v>1089</v>
      </c>
      <c r="R59" s="15" t="n">
        <v>-0.653188180404355</v>
      </c>
      <c r="S59" s="15" t="s">
        <v>1089</v>
      </c>
      <c r="T59" s="15" t="s">
        <v>1090</v>
      </c>
      <c r="U59" s="15" t="s">
        <v>1155</v>
      </c>
      <c r="V59" s="15" t="n">
        <v>10209</v>
      </c>
      <c r="W59" s="15" t="n">
        <v>7920</v>
      </c>
      <c r="X59" s="15" t="s">
        <v>1156</v>
      </c>
      <c r="Y59" s="15" t="n">
        <v>-0.224213928886277</v>
      </c>
    </row>
    <row r="60" customFormat="false" ht="13.8" hidden="true" customHeight="false" outlineLevel="0" collapsed="false">
      <c r="A60" s="15" t="s">
        <v>1093</v>
      </c>
      <c r="B60" s="15" t="s">
        <v>1188</v>
      </c>
      <c r="C60" s="15" t="n">
        <v>2009</v>
      </c>
      <c r="D60" s="15" t="s">
        <v>1059</v>
      </c>
      <c r="E60" s="15" t="s">
        <v>1189</v>
      </c>
      <c r="F60" s="15" t="s">
        <v>1086</v>
      </c>
      <c r="H60" s="15" t="s">
        <v>1102</v>
      </c>
      <c r="I60" s="16" t="n">
        <v>2887.10093737264</v>
      </c>
      <c r="J60" s="16" t="n">
        <v>3075.5118188112</v>
      </c>
      <c r="K60" s="15" t="s">
        <v>1103</v>
      </c>
      <c r="L60" s="16" t="n">
        <v>42503.9</v>
      </c>
      <c r="M60" s="16" t="n">
        <v>31096.5</v>
      </c>
      <c r="N60" s="15" t="s">
        <v>1104</v>
      </c>
      <c r="P60" s="15" t="n">
        <v>0.0652595408077474</v>
      </c>
      <c r="Q60" s="15" t="s">
        <v>1089</v>
      </c>
      <c r="R60" s="15" t="n">
        <v>-0.268384783513983</v>
      </c>
      <c r="S60" s="15" t="s">
        <v>1148</v>
      </c>
      <c r="T60" s="15" t="s">
        <v>1090</v>
      </c>
      <c r="U60" s="15" t="s">
        <v>1190</v>
      </c>
      <c r="V60" s="15" t="n">
        <v>14.722</v>
      </c>
      <c r="W60" s="15" t="n">
        <v>10.111</v>
      </c>
      <c r="X60" s="15" t="s">
        <v>1108</v>
      </c>
      <c r="Y60" s="15" t="n">
        <v>-0.31320472761853</v>
      </c>
    </row>
    <row r="61" customFormat="false" ht="13.8" hidden="true" customHeight="false" outlineLevel="0" collapsed="false">
      <c r="A61" s="15" t="s">
        <v>1093</v>
      </c>
      <c r="B61" s="15" t="s">
        <v>1191</v>
      </c>
      <c r="C61" s="15" t="n">
        <v>2009</v>
      </c>
      <c r="D61" s="15" t="s">
        <v>107</v>
      </c>
      <c r="E61" s="15" t="s">
        <v>1192</v>
      </c>
      <c r="F61" s="15" t="s">
        <v>766</v>
      </c>
      <c r="H61" s="15" t="s">
        <v>1193</v>
      </c>
      <c r="I61" s="16" t="n">
        <v>0.000155</v>
      </c>
      <c r="J61" s="16" t="n">
        <v>0.000175</v>
      </c>
      <c r="K61" s="15" t="s">
        <v>1194</v>
      </c>
      <c r="L61" s="16" t="n">
        <v>5.8125</v>
      </c>
      <c r="M61" s="16" t="n">
        <v>4.8125</v>
      </c>
      <c r="N61" s="15" t="s">
        <v>1195</v>
      </c>
      <c r="P61" s="15" t="n">
        <v>0.129032258064516</v>
      </c>
      <c r="Q61" s="15" t="s">
        <v>1089</v>
      </c>
      <c r="R61" s="15" t="n">
        <v>-0.172043010752688</v>
      </c>
      <c r="S61" s="15" t="s">
        <v>1089</v>
      </c>
      <c r="T61" s="15" t="s">
        <v>1090</v>
      </c>
      <c r="U61" s="15" t="s">
        <v>1196</v>
      </c>
      <c r="V61" s="15" t="n">
        <v>37500</v>
      </c>
      <c r="W61" s="15" t="n">
        <v>27500</v>
      </c>
      <c r="X61" s="15" t="s">
        <v>1092</v>
      </c>
      <c r="Y61" s="15" t="n">
        <v>-0.266666666666667</v>
      </c>
    </row>
    <row r="62" customFormat="false" ht="13.8" hidden="false" customHeight="false" outlineLevel="0" collapsed="false">
      <c r="A62" s="15" t="s">
        <v>1093</v>
      </c>
      <c r="B62" s="15" t="s">
        <v>1191</v>
      </c>
      <c r="C62" s="15" t="n">
        <v>2009</v>
      </c>
      <c r="D62" s="15" t="s">
        <v>107</v>
      </c>
      <c r="E62" s="15" t="s">
        <v>1192</v>
      </c>
      <c r="F62" s="15" t="s">
        <v>766</v>
      </c>
      <c r="H62" s="15" t="s">
        <v>403</v>
      </c>
      <c r="I62" s="16" t="n">
        <v>0.0944</v>
      </c>
      <c r="J62" s="16" t="n">
        <v>0.0435</v>
      </c>
      <c r="K62" s="15" t="s">
        <v>1087</v>
      </c>
      <c r="L62" s="16" t="n">
        <v>3540</v>
      </c>
      <c r="M62" s="16" t="n">
        <v>1196.25</v>
      </c>
      <c r="N62" s="15" t="s">
        <v>1095</v>
      </c>
      <c r="P62" s="15" t="n">
        <v>-0.539194915254237</v>
      </c>
      <c r="Q62" s="15" t="s">
        <v>1089</v>
      </c>
      <c r="R62" s="15" t="n">
        <v>-0.662076271186441</v>
      </c>
      <c r="S62" s="15" t="s">
        <v>1089</v>
      </c>
      <c r="T62" s="15" t="s">
        <v>1090</v>
      </c>
      <c r="U62" s="15" t="s">
        <v>1196</v>
      </c>
      <c r="V62" s="15" t="n">
        <v>37500</v>
      </c>
      <c r="W62" s="15" t="n">
        <v>27500</v>
      </c>
      <c r="X62" s="15" t="s">
        <v>1092</v>
      </c>
      <c r="Y62" s="15" t="n">
        <v>-0.266666666666667</v>
      </c>
    </row>
    <row r="63" customFormat="false" ht="13.8" hidden="true" customHeight="false" outlineLevel="0" collapsed="false">
      <c r="A63" s="15" t="s">
        <v>1093</v>
      </c>
      <c r="B63" s="15" t="s">
        <v>1191</v>
      </c>
      <c r="C63" s="15" t="n">
        <v>2009</v>
      </c>
      <c r="D63" s="15" t="s">
        <v>107</v>
      </c>
      <c r="E63" s="15" t="s">
        <v>1192</v>
      </c>
      <c r="F63" s="15" t="s">
        <v>766</v>
      </c>
      <c r="H63" s="15" t="s">
        <v>1118</v>
      </c>
      <c r="I63" s="16" t="n">
        <v>3.06E-008</v>
      </c>
      <c r="J63" s="16" t="n">
        <v>3.59E-008</v>
      </c>
      <c r="K63" s="15" t="s">
        <v>1197</v>
      </c>
      <c r="L63" s="16" t="n">
        <v>0.0011475</v>
      </c>
      <c r="M63" s="16" t="n">
        <v>0.00098725</v>
      </c>
      <c r="N63" s="15" t="s">
        <v>1198</v>
      </c>
      <c r="P63" s="15" t="n">
        <v>0.173202614379085</v>
      </c>
      <c r="Q63" s="15" t="s">
        <v>1089</v>
      </c>
      <c r="R63" s="15" t="n">
        <v>-0.139651416122005</v>
      </c>
      <c r="S63" s="15" t="s">
        <v>1089</v>
      </c>
      <c r="T63" s="15" t="s">
        <v>1090</v>
      </c>
      <c r="U63" s="15" t="s">
        <v>1196</v>
      </c>
      <c r="V63" s="15" t="n">
        <v>37500</v>
      </c>
      <c r="W63" s="15" t="n">
        <v>27500</v>
      </c>
      <c r="X63" s="15" t="s">
        <v>1092</v>
      </c>
      <c r="Y63" s="15" t="n">
        <v>-0.266666666666667</v>
      </c>
    </row>
    <row r="64" customFormat="false" ht="13.8" hidden="true" customHeight="false" outlineLevel="0" collapsed="false">
      <c r="A64" s="15" t="s">
        <v>1093</v>
      </c>
      <c r="B64" s="15" t="s">
        <v>1191</v>
      </c>
      <c r="C64" s="15" t="n">
        <v>2009</v>
      </c>
      <c r="D64" s="15" t="s">
        <v>107</v>
      </c>
      <c r="E64" s="15" t="s">
        <v>1192</v>
      </c>
      <c r="F64" s="15" t="s">
        <v>766</v>
      </c>
      <c r="H64" s="15" t="s">
        <v>1199</v>
      </c>
      <c r="I64" s="16" t="n">
        <v>0.0307</v>
      </c>
      <c r="J64" s="16" t="n">
        <v>0.00748</v>
      </c>
      <c r="K64" s="15" t="s">
        <v>1200</v>
      </c>
      <c r="L64" s="16" t="n">
        <v>1151.25</v>
      </c>
      <c r="M64" s="16" t="n">
        <v>205.7</v>
      </c>
      <c r="N64" s="15" t="s">
        <v>1201</v>
      </c>
      <c r="P64" s="15" t="n">
        <v>-0.756351791530945</v>
      </c>
      <c r="Q64" s="15" t="s">
        <v>1089</v>
      </c>
      <c r="R64" s="15" t="n">
        <v>-0.821324647122693</v>
      </c>
      <c r="S64" s="15" t="s">
        <v>1089</v>
      </c>
      <c r="T64" s="15" t="s">
        <v>1090</v>
      </c>
      <c r="U64" s="15" t="s">
        <v>1196</v>
      </c>
      <c r="V64" s="15" t="n">
        <v>37500</v>
      </c>
      <c r="W64" s="15" t="n">
        <v>27500</v>
      </c>
      <c r="X64" s="15" t="s">
        <v>1092</v>
      </c>
      <c r="Y64" s="15" t="n">
        <v>-0.266666666666667</v>
      </c>
    </row>
    <row r="65" customFormat="false" ht="13.8" hidden="true" customHeight="false" outlineLevel="0" collapsed="false">
      <c r="A65" s="15" t="s">
        <v>1093</v>
      </c>
      <c r="B65" s="15" t="s">
        <v>1191</v>
      </c>
      <c r="C65" s="15" t="n">
        <v>2009</v>
      </c>
      <c r="D65" s="15" t="s">
        <v>107</v>
      </c>
      <c r="E65" s="15" t="s">
        <v>1192</v>
      </c>
      <c r="F65" s="15" t="s">
        <v>766</v>
      </c>
      <c r="H65" s="15" t="s">
        <v>1202</v>
      </c>
      <c r="I65" s="16" t="n">
        <v>0.00691</v>
      </c>
      <c r="J65" s="16" t="n">
        <v>3.53E-005</v>
      </c>
      <c r="K65" s="15" t="s">
        <v>1200</v>
      </c>
      <c r="L65" s="16" t="n">
        <v>259.125</v>
      </c>
      <c r="M65" s="16" t="n">
        <v>0.97075</v>
      </c>
      <c r="N65" s="15" t="s">
        <v>1201</v>
      </c>
      <c r="P65" s="15" t="n">
        <v>-0.994891461649783</v>
      </c>
      <c r="Q65" s="15" t="s">
        <v>1089</v>
      </c>
      <c r="R65" s="15" t="n">
        <v>-0.996253738543174</v>
      </c>
      <c r="S65" s="15" t="s">
        <v>1089</v>
      </c>
      <c r="T65" s="15" t="s">
        <v>1090</v>
      </c>
      <c r="U65" s="15" t="s">
        <v>1196</v>
      </c>
      <c r="V65" s="15" t="n">
        <v>37500</v>
      </c>
      <c r="W65" s="15" t="n">
        <v>27500</v>
      </c>
      <c r="X65" s="15" t="s">
        <v>1092</v>
      </c>
      <c r="Y65" s="15" t="n">
        <v>-0.266666666666667</v>
      </c>
    </row>
    <row r="66" customFormat="false" ht="13.8" hidden="true" customHeight="false" outlineLevel="0" collapsed="false">
      <c r="A66" s="15" t="s">
        <v>1093</v>
      </c>
      <c r="B66" s="15" t="s">
        <v>1191</v>
      </c>
      <c r="C66" s="15" t="n">
        <v>2009</v>
      </c>
      <c r="D66" s="15" t="s">
        <v>107</v>
      </c>
      <c r="E66" s="15" t="s">
        <v>1192</v>
      </c>
      <c r="F66" s="15" t="s">
        <v>766</v>
      </c>
      <c r="H66" s="15" t="s">
        <v>1127</v>
      </c>
      <c r="I66" s="16" t="n">
        <v>5.66E-006</v>
      </c>
      <c r="J66" s="16" t="n">
        <v>7.34E-006</v>
      </c>
      <c r="K66" s="15" t="s">
        <v>1203</v>
      </c>
      <c r="L66" s="16" t="n">
        <v>0.21225</v>
      </c>
      <c r="M66" s="16" t="n">
        <v>0.20185</v>
      </c>
      <c r="N66" s="15" t="s">
        <v>1204</v>
      </c>
      <c r="P66" s="15" t="n">
        <v>0.296819787985866</v>
      </c>
      <c r="Q66" s="15" t="s">
        <v>1089</v>
      </c>
      <c r="R66" s="15" t="n">
        <v>-0.0489988221436984</v>
      </c>
      <c r="S66" s="15" t="s">
        <v>1089</v>
      </c>
      <c r="T66" s="15" t="s">
        <v>1090</v>
      </c>
      <c r="U66" s="15" t="s">
        <v>1196</v>
      </c>
      <c r="V66" s="15" t="n">
        <v>37500</v>
      </c>
      <c r="W66" s="15" t="n">
        <v>27500</v>
      </c>
      <c r="X66" s="15" t="s">
        <v>1092</v>
      </c>
      <c r="Y66" s="15" t="n">
        <v>-0.266666666666667</v>
      </c>
    </row>
    <row r="67" customFormat="false" ht="13.8" hidden="true" customHeight="false" outlineLevel="0" collapsed="false">
      <c r="A67" s="15" t="s">
        <v>1093</v>
      </c>
      <c r="B67" s="15" t="s">
        <v>1191</v>
      </c>
      <c r="C67" s="15" t="n">
        <v>2009</v>
      </c>
      <c r="D67" s="15" t="s">
        <v>107</v>
      </c>
      <c r="E67" s="15" t="s">
        <v>1192</v>
      </c>
      <c r="F67" s="15" t="s">
        <v>766</v>
      </c>
      <c r="H67" s="15" t="s">
        <v>1130</v>
      </c>
      <c r="I67" s="16" t="n">
        <v>0.00045</v>
      </c>
      <c r="J67" s="16" t="n">
        <v>0.000382</v>
      </c>
      <c r="K67" s="15" t="s">
        <v>1205</v>
      </c>
      <c r="L67" s="16" t="n">
        <v>16.875</v>
      </c>
      <c r="M67" s="16" t="n">
        <v>10.505</v>
      </c>
      <c r="N67" s="15" t="s">
        <v>1206</v>
      </c>
      <c r="P67" s="15" t="n">
        <v>-0.151111111111111</v>
      </c>
      <c r="Q67" s="15" t="s">
        <v>1089</v>
      </c>
      <c r="R67" s="15" t="n">
        <v>-0.377481481481481</v>
      </c>
      <c r="S67" s="15" t="s">
        <v>1089</v>
      </c>
      <c r="T67" s="15" t="s">
        <v>1090</v>
      </c>
      <c r="U67" s="15" t="s">
        <v>1196</v>
      </c>
      <c r="V67" s="15" t="n">
        <v>37500</v>
      </c>
      <c r="W67" s="15" t="n">
        <v>27500</v>
      </c>
      <c r="X67" s="15" t="s">
        <v>1092</v>
      </c>
      <c r="Y67" s="15" t="n">
        <v>-0.266666666666667</v>
      </c>
    </row>
    <row r="68" customFormat="false" ht="13.8" hidden="true" customHeight="false" outlineLevel="0" collapsed="false">
      <c r="A68" s="15" t="s">
        <v>1093</v>
      </c>
      <c r="B68" s="15" t="s">
        <v>1191</v>
      </c>
      <c r="C68" s="15" t="n">
        <v>2009</v>
      </c>
      <c r="D68" s="15" t="s">
        <v>107</v>
      </c>
      <c r="E68" s="15" t="s">
        <v>1192</v>
      </c>
      <c r="F68" s="15" t="s">
        <v>766</v>
      </c>
      <c r="H68" s="15" t="s">
        <v>1133</v>
      </c>
      <c r="I68" s="16" t="n">
        <v>0.000674</v>
      </c>
      <c r="J68" s="16" t="n">
        <v>0.000694</v>
      </c>
      <c r="K68" s="15" t="s">
        <v>1207</v>
      </c>
      <c r="L68" s="16" t="n">
        <v>25.275</v>
      </c>
      <c r="M68" s="16" t="n">
        <v>19.085</v>
      </c>
      <c r="N68" s="15" t="s">
        <v>1208</v>
      </c>
      <c r="P68" s="15" t="n">
        <v>0.029673590504451</v>
      </c>
      <c r="Q68" s="15" t="s">
        <v>1089</v>
      </c>
      <c r="R68" s="15" t="n">
        <v>-0.244906033630069</v>
      </c>
      <c r="S68" s="15" t="s">
        <v>1089</v>
      </c>
      <c r="T68" s="15" t="s">
        <v>1090</v>
      </c>
      <c r="U68" s="15" t="s">
        <v>1196</v>
      </c>
      <c r="V68" s="15" t="n">
        <v>37500</v>
      </c>
      <c r="W68" s="15" t="n">
        <v>27500</v>
      </c>
      <c r="X68" s="15" t="s">
        <v>1092</v>
      </c>
      <c r="Y68" s="15" t="n">
        <v>-0.266666666666667</v>
      </c>
    </row>
    <row r="69" customFormat="false" ht="13.8" hidden="false" customHeight="false" outlineLevel="0" collapsed="false">
      <c r="A69" s="15" t="s">
        <v>1093</v>
      </c>
      <c r="B69" s="15" t="s">
        <v>1137</v>
      </c>
      <c r="C69" s="15" t="n">
        <v>2007</v>
      </c>
      <c r="D69" s="15" t="s">
        <v>103</v>
      </c>
      <c r="E69" s="15" t="s">
        <v>1192</v>
      </c>
      <c r="F69" s="15" t="s">
        <v>766</v>
      </c>
      <c r="H69" s="15" t="s">
        <v>403</v>
      </c>
      <c r="I69" s="16" t="n">
        <v>0.181</v>
      </c>
      <c r="J69" s="16" t="n">
        <v>0.234</v>
      </c>
      <c r="K69" s="15" t="s">
        <v>1139</v>
      </c>
      <c r="L69" s="16" t="s">
        <v>1140</v>
      </c>
      <c r="M69" s="16" t="s">
        <v>1140</v>
      </c>
      <c r="N69" s="15" t="s">
        <v>628</v>
      </c>
      <c r="P69" s="15" t="n">
        <v>0.292817679558011</v>
      </c>
      <c r="Q69" s="15" t="s">
        <v>1089</v>
      </c>
      <c r="R69" s="15" t="s">
        <v>1140</v>
      </c>
      <c r="S69" s="15" t="s">
        <v>628</v>
      </c>
      <c r="T69" s="15" t="s">
        <v>1090</v>
      </c>
      <c r="U69" s="15" t="s">
        <v>1141</v>
      </c>
      <c r="V69" s="15" t="s">
        <v>1140</v>
      </c>
      <c r="W69" s="15" t="s">
        <v>1140</v>
      </c>
      <c r="X69" s="15" t="s">
        <v>1140</v>
      </c>
      <c r="Y69" s="15" t="s">
        <v>1140</v>
      </c>
    </row>
    <row r="70" customFormat="false" ht="13.8" hidden="false" customHeight="false" outlineLevel="0" collapsed="false">
      <c r="A70" s="15" t="s">
        <v>1093</v>
      </c>
      <c r="B70" s="15" t="s">
        <v>1137</v>
      </c>
      <c r="C70" s="15" t="n">
        <v>2007</v>
      </c>
      <c r="D70" s="15" t="s">
        <v>103</v>
      </c>
      <c r="E70" s="15" t="s">
        <v>1209</v>
      </c>
      <c r="F70" s="15" t="s">
        <v>766</v>
      </c>
      <c r="H70" s="15" t="s">
        <v>403</v>
      </c>
      <c r="I70" s="16" t="n">
        <v>0.049</v>
      </c>
      <c r="J70" s="16" t="n">
        <v>0.057</v>
      </c>
      <c r="K70" s="15" t="s">
        <v>1139</v>
      </c>
      <c r="L70" s="16" t="s">
        <v>1140</v>
      </c>
      <c r="M70" s="16" t="s">
        <v>1140</v>
      </c>
      <c r="N70" s="15" t="s">
        <v>628</v>
      </c>
      <c r="P70" s="15" t="n">
        <v>0.163265306122449</v>
      </c>
      <c r="Q70" s="15" t="s">
        <v>1089</v>
      </c>
      <c r="R70" s="15" t="s">
        <v>1140</v>
      </c>
      <c r="S70" s="15" t="s">
        <v>628</v>
      </c>
      <c r="T70" s="15" t="s">
        <v>1090</v>
      </c>
      <c r="U70" s="15" t="s">
        <v>1141</v>
      </c>
      <c r="V70" s="15" t="s">
        <v>1140</v>
      </c>
      <c r="W70" s="15" t="s">
        <v>1140</v>
      </c>
      <c r="X70" s="15" t="s">
        <v>1140</v>
      </c>
      <c r="Y70" s="15" t="s">
        <v>1140</v>
      </c>
    </row>
    <row r="71" customFormat="false" ht="13.8" hidden="false" customHeight="false" outlineLevel="0" collapsed="false">
      <c r="A71" s="15" t="s">
        <v>1093</v>
      </c>
      <c r="B71" s="15" t="s">
        <v>1083</v>
      </c>
      <c r="C71" s="15" t="n">
        <v>2020</v>
      </c>
      <c r="D71" s="15" t="s">
        <v>1084</v>
      </c>
      <c r="E71" s="15" t="s">
        <v>1209</v>
      </c>
      <c r="F71" s="15" t="s">
        <v>1086</v>
      </c>
      <c r="H71" s="15" t="s">
        <v>403</v>
      </c>
      <c r="I71" s="16" t="n">
        <v>0.192</v>
      </c>
      <c r="J71" s="16" t="n">
        <v>0.268</v>
      </c>
      <c r="K71" s="15" t="s">
        <v>1087</v>
      </c>
      <c r="L71" s="16" t="n">
        <v>6886.57789926538</v>
      </c>
      <c r="M71" s="16" t="n">
        <v>5632.33206738835</v>
      </c>
      <c r="N71" s="15" t="s">
        <v>1095</v>
      </c>
      <c r="O71" s="15" t="s">
        <v>1210</v>
      </c>
      <c r="P71" s="15" t="n">
        <v>0.395833333333334</v>
      </c>
      <c r="Q71" s="15" t="s">
        <v>1089</v>
      </c>
      <c r="R71" s="15" t="n">
        <v>-0.18212904148094</v>
      </c>
      <c r="S71" s="15" t="s">
        <v>1089</v>
      </c>
      <c r="T71" s="15" t="s">
        <v>1090</v>
      </c>
      <c r="U71" s="15" t="s">
        <v>1091</v>
      </c>
      <c r="V71" s="15" t="n">
        <v>35867.5932253405</v>
      </c>
      <c r="W71" s="15" t="n">
        <v>21016.1644305535</v>
      </c>
      <c r="X71" s="15" t="s">
        <v>1092</v>
      </c>
      <c r="Y71" s="15" t="n">
        <v>-0.414062596881868</v>
      </c>
    </row>
    <row r="72" customFormat="false" ht="13.8" hidden="true" customHeight="false" outlineLevel="0" collapsed="false">
      <c r="A72" s="15" t="s">
        <v>1082</v>
      </c>
      <c r="B72" s="15" t="s">
        <v>1211</v>
      </c>
      <c r="C72" s="15" t="n">
        <v>2006</v>
      </c>
      <c r="D72" s="15" t="s">
        <v>143</v>
      </c>
      <c r="E72" s="15" t="s">
        <v>1212</v>
      </c>
      <c r="F72" s="15" t="s">
        <v>766</v>
      </c>
      <c r="H72" s="15" t="s">
        <v>1153</v>
      </c>
      <c r="I72" s="16" t="n">
        <v>0.000309</v>
      </c>
      <c r="J72" s="16" t="n">
        <v>0.000845</v>
      </c>
      <c r="K72" s="15" t="s">
        <v>1213</v>
      </c>
      <c r="L72" s="16" t="s">
        <v>628</v>
      </c>
      <c r="M72" s="16" t="s">
        <v>628</v>
      </c>
      <c r="N72" s="15" t="s">
        <v>628</v>
      </c>
      <c r="P72" s="15" t="n">
        <v>1.73462783171521</v>
      </c>
      <c r="Q72" s="15" t="s">
        <v>1089</v>
      </c>
      <c r="R72" s="15" t="s">
        <v>628</v>
      </c>
      <c r="S72" s="15" t="s">
        <v>1089</v>
      </c>
      <c r="T72" s="15" t="s">
        <v>1090</v>
      </c>
      <c r="U72" s="15" t="s">
        <v>1214</v>
      </c>
      <c r="V72" s="15" t="n">
        <v>3236</v>
      </c>
      <c r="W72" s="15" t="n">
        <v>1183</v>
      </c>
      <c r="X72" s="15" t="s">
        <v>1092</v>
      </c>
      <c r="Y72" s="15" t="n">
        <v>-0.63442521631644</v>
      </c>
    </row>
    <row r="73" customFormat="false" ht="13.8" hidden="true" customHeight="false" outlineLevel="0" collapsed="false">
      <c r="A73" s="15" t="s">
        <v>1082</v>
      </c>
      <c r="B73" s="15" t="s">
        <v>1211</v>
      </c>
      <c r="C73" s="15" t="n">
        <v>2006</v>
      </c>
      <c r="D73" s="15" t="s">
        <v>143</v>
      </c>
      <c r="E73" s="15" t="s">
        <v>1212</v>
      </c>
      <c r="F73" s="15" t="s">
        <v>766</v>
      </c>
      <c r="H73" s="15" t="s">
        <v>1157</v>
      </c>
      <c r="I73" s="16" t="n">
        <v>5.39</v>
      </c>
      <c r="J73" s="16" t="n">
        <v>4.02</v>
      </c>
      <c r="K73" s="15" t="s">
        <v>1215</v>
      </c>
      <c r="L73" s="16" t="n">
        <v>17442.04</v>
      </c>
      <c r="M73" s="16" t="n">
        <v>4755.66</v>
      </c>
      <c r="N73" s="15" t="s">
        <v>1216</v>
      </c>
      <c r="P73" s="15" t="n">
        <v>-0.25417439703154</v>
      </c>
      <c r="Q73" s="15" t="s">
        <v>1089</v>
      </c>
      <c r="R73" s="15" t="n">
        <v>-0.727344966529145</v>
      </c>
      <c r="S73" s="15" t="s">
        <v>1089</v>
      </c>
      <c r="T73" s="15" t="s">
        <v>1090</v>
      </c>
      <c r="U73" s="15" t="s">
        <v>1214</v>
      </c>
      <c r="V73" s="15" t="n">
        <v>3236</v>
      </c>
      <c r="W73" s="15" t="n">
        <v>1183</v>
      </c>
      <c r="X73" s="15" t="s">
        <v>1092</v>
      </c>
      <c r="Y73" s="15" t="n">
        <v>-0.63442521631644</v>
      </c>
    </row>
    <row r="74" customFormat="false" ht="13.8" hidden="false" customHeight="false" outlineLevel="0" collapsed="false">
      <c r="A74" s="15" t="s">
        <v>1082</v>
      </c>
      <c r="B74" s="15" t="s">
        <v>1211</v>
      </c>
      <c r="C74" s="15" t="n">
        <v>2006</v>
      </c>
      <c r="D74" s="15" t="s">
        <v>143</v>
      </c>
      <c r="E74" s="15" t="s">
        <v>1212</v>
      </c>
      <c r="F74" s="15" t="s">
        <v>766</v>
      </c>
      <c r="H74" s="15" t="s">
        <v>403</v>
      </c>
      <c r="I74" s="16" t="n">
        <v>1.71</v>
      </c>
      <c r="J74" s="16" t="n">
        <v>1.62</v>
      </c>
      <c r="K74" s="15" t="s">
        <v>1087</v>
      </c>
      <c r="L74" s="16" t="n">
        <v>5533.56</v>
      </c>
      <c r="M74" s="16" t="n">
        <v>1916.46</v>
      </c>
      <c r="N74" s="15" t="s">
        <v>1217</v>
      </c>
      <c r="P74" s="15" t="n">
        <v>-0.0526315789473684</v>
      </c>
      <c r="Q74" s="15" t="s">
        <v>1089</v>
      </c>
      <c r="R74" s="15" t="n">
        <v>-0.653665994405049</v>
      </c>
      <c r="S74" s="15" t="s">
        <v>1089</v>
      </c>
      <c r="T74" s="15" t="s">
        <v>1090</v>
      </c>
      <c r="U74" s="15" t="s">
        <v>1214</v>
      </c>
      <c r="V74" s="15" t="n">
        <v>3236</v>
      </c>
      <c r="W74" s="15" t="n">
        <v>1183</v>
      </c>
      <c r="X74" s="15" t="s">
        <v>1092</v>
      </c>
      <c r="Y74" s="15" t="n">
        <v>-0.63442521631644</v>
      </c>
    </row>
    <row r="75" customFormat="false" ht="13.8" hidden="true" customHeight="false" outlineLevel="0" collapsed="false">
      <c r="A75" s="15" t="s">
        <v>1082</v>
      </c>
      <c r="B75" s="15" t="s">
        <v>1211</v>
      </c>
      <c r="C75" s="15" t="n">
        <v>2006</v>
      </c>
      <c r="D75" s="15" t="s">
        <v>143</v>
      </c>
      <c r="E75" s="15" t="s">
        <v>1212</v>
      </c>
      <c r="F75" s="15" t="s">
        <v>766</v>
      </c>
      <c r="H75" s="15" t="s">
        <v>1165</v>
      </c>
      <c r="I75" s="16" t="n">
        <v>0.0084</v>
      </c>
      <c r="J75" s="16" t="n">
        <v>0.0148</v>
      </c>
      <c r="K75" s="15" t="s">
        <v>1218</v>
      </c>
      <c r="L75" s="16" t="n">
        <v>27.1824</v>
      </c>
      <c r="M75" s="16" t="n">
        <v>17.5084</v>
      </c>
      <c r="N75" s="15" t="s">
        <v>1219</v>
      </c>
      <c r="P75" s="15" t="n">
        <v>0.761904761904762</v>
      </c>
      <c r="Q75" s="15" t="s">
        <v>1089</v>
      </c>
      <c r="R75" s="15" t="n">
        <v>-0.355892047795632</v>
      </c>
      <c r="S75" s="15" t="s">
        <v>1089</v>
      </c>
      <c r="T75" s="15" t="s">
        <v>1090</v>
      </c>
      <c r="U75" s="15" t="s">
        <v>1214</v>
      </c>
      <c r="V75" s="15" t="n">
        <v>3236</v>
      </c>
      <c r="W75" s="15" t="n">
        <v>1183</v>
      </c>
      <c r="X75" s="15" t="s">
        <v>1092</v>
      </c>
      <c r="Y75" s="15" t="n">
        <v>-0.63442521631644</v>
      </c>
    </row>
    <row r="76" customFormat="false" ht="13.8" hidden="true" customHeight="false" outlineLevel="0" collapsed="false">
      <c r="A76" s="15" t="s">
        <v>1082</v>
      </c>
      <c r="B76" s="15" t="s">
        <v>1211</v>
      </c>
      <c r="C76" s="15" t="n">
        <v>2006</v>
      </c>
      <c r="D76" s="15" t="s">
        <v>143</v>
      </c>
      <c r="E76" s="15" t="s">
        <v>1212</v>
      </c>
      <c r="F76" s="15" t="s">
        <v>766</v>
      </c>
      <c r="H76" s="15" t="s">
        <v>1130</v>
      </c>
      <c r="I76" s="16" t="n">
        <v>0.0092</v>
      </c>
      <c r="J76" s="16" t="n">
        <v>0.0057</v>
      </c>
      <c r="K76" s="15" t="s">
        <v>1220</v>
      </c>
      <c r="L76" s="16" t="n">
        <v>29.7712</v>
      </c>
      <c r="M76" s="16" t="n">
        <v>6.7431</v>
      </c>
      <c r="N76" s="15" t="s">
        <v>1221</v>
      </c>
      <c r="P76" s="15" t="n">
        <v>-0.380434782608696</v>
      </c>
      <c r="Q76" s="15" t="s">
        <v>1089</v>
      </c>
      <c r="R76" s="15" t="n">
        <v>-0.773502579674316</v>
      </c>
      <c r="S76" s="15" t="s">
        <v>1089</v>
      </c>
      <c r="T76" s="15" t="s">
        <v>1090</v>
      </c>
      <c r="U76" s="15" t="s">
        <v>1214</v>
      </c>
      <c r="V76" s="15" t="n">
        <v>3236</v>
      </c>
      <c r="W76" s="15" t="n">
        <v>1183</v>
      </c>
      <c r="X76" s="15" t="s">
        <v>1092</v>
      </c>
      <c r="Y76" s="15" t="n">
        <v>-0.63442521631644</v>
      </c>
    </row>
    <row r="77" customFormat="false" ht="13.8" hidden="true" customHeight="false" outlineLevel="0" collapsed="false">
      <c r="A77" s="15" t="s">
        <v>1082</v>
      </c>
      <c r="B77" s="15" t="s">
        <v>1211</v>
      </c>
      <c r="C77" s="15" t="n">
        <v>2006</v>
      </c>
      <c r="D77" s="15" t="s">
        <v>143</v>
      </c>
      <c r="E77" s="15" t="s">
        <v>1212</v>
      </c>
      <c r="F77" s="15" t="s">
        <v>766</v>
      </c>
      <c r="H77" s="15" t="s">
        <v>1222</v>
      </c>
      <c r="I77" s="16" t="n">
        <v>0.0045</v>
      </c>
      <c r="J77" s="16" t="n">
        <v>0</v>
      </c>
      <c r="K77" s="15" t="s">
        <v>1223</v>
      </c>
      <c r="L77" s="16" t="n">
        <v>14.562</v>
      </c>
      <c r="M77" s="16" t="n">
        <v>0</v>
      </c>
      <c r="N77" s="15" t="s">
        <v>1224</v>
      </c>
      <c r="P77" s="15" t="n">
        <v>-1</v>
      </c>
      <c r="Q77" s="15" t="s">
        <v>1089</v>
      </c>
      <c r="R77" s="15" t="n">
        <v>-1</v>
      </c>
      <c r="S77" s="15" t="s">
        <v>1089</v>
      </c>
      <c r="T77" s="15" t="s">
        <v>1090</v>
      </c>
      <c r="U77" s="15" t="s">
        <v>1214</v>
      </c>
      <c r="V77" s="15" t="n">
        <v>3236</v>
      </c>
      <c r="W77" s="15" t="n">
        <v>1183</v>
      </c>
      <c r="X77" s="15" t="s">
        <v>1092</v>
      </c>
      <c r="Y77" s="15" t="n">
        <v>-0.63442521631644</v>
      </c>
    </row>
    <row r="78" customFormat="false" ht="13.8" hidden="true" customHeight="false" outlineLevel="0" collapsed="false">
      <c r="A78" s="15" t="s">
        <v>1082</v>
      </c>
      <c r="B78" s="15" t="s">
        <v>1211</v>
      </c>
      <c r="C78" s="15" t="n">
        <v>2006</v>
      </c>
      <c r="D78" s="15" t="s">
        <v>143</v>
      </c>
      <c r="E78" s="15" t="s">
        <v>1212</v>
      </c>
      <c r="F78" s="15" t="s">
        <v>766</v>
      </c>
      <c r="H78" s="15" t="s">
        <v>1112</v>
      </c>
      <c r="I78" s="16" t="n">
        <v>0.0033</v>
      </c>
      <c r="J78" s="16" t="n">
        <v>0.0029</v>
      </c>
      <c r="K78" s="15" t="s">
        <v>1113</v>
      </c>
      <c r="L78" s="16" t="n">
        <v>10.6788</v>
      </c>
      <c r="M78" s="16" t="n">
        <v>3.4307</v>
      </c>
      <c r="N78" s="15" t="s">
        <v>1225</v>
      </c>
      <c r="P78" s="15" t="n">
        <v>-0.121212121212121</v>
      </c>
      <c r="Q78" s="15" t="s">
        <v>1089</v>
      </c>
      <c r="R78" s="15" t="n">
        <v>-0.678737311308387</v>
      </c>
      <c r="S78" s="15" t="s">
        <v>1089</v>
      </c>
      <c r="T78" s="15" t="s">
        <v>1090</v>
      </c>
      <c r="U78" s="15" t="s">
        <v>1214</v>
      </c>
      <c r="V78" s="15" t="n">
        <v>3236</v>
      </c>
      <c r="W78" s="15" t="n">
        <v>1183</v>
      </c>
      <c r="X78" s="15" t="s">
        <v>1092</v>
      </c>
      <c r="Y78" s="15" t="n">
        <v>-0.63442521631644</v>
      </c>
    </row>
    <row r="79" customFormat="false" ht="13.8" hidden="true" customHeight="false" outlineLevel="0" collapsed="false">
      <c r="A79" s="15" t="s">
        <v>1093</v>
      </c>
      <c r="B79" s="15" t="s">
        <v>1226</v>
      </c>
      <c r="C79" s="15" t="n">
        <v>2011</v>
      </c>
      <c r="D79" s="15" t="s">
        <v>96</v>
      </c>
      <c r="E79" s="15" t="s">
        <v>1227</v>
      </c>
      <c r="F79" s="15" t="s">
        <v>766</v>
      </c>
      <c r="H79" s="15" t="s">
        <v>1199</v>
      </c>
      <c r="I79" s="16" t="n">
        <v>4.4E-009</v>
      </c>
      <c r="J79" s="16" t="n">
        <v>2.02E-011</v>
      </c>
      <c r="K79" s="15" t="s">
        <v>1228</v>
      </c>
      <c r="L79" s="16" t="n">
        <v>0.000132</v>
      </c>
      <c r="M79" s="16" t="n">
        <v>6.06E-007</v>
      </c>
      <c r="N79" s="15" t="s">
        <v>1229</v>
      </c>
      <c r="P79" s="15" t="n">
        <v>-0.995409090909091</v>
      </c>
      <c r="Q79" s="15" t="s">
        <v>1089</v>
      </c>
      <c r="R79" s="15" t="n">
        <v>-0.995409090909091</v>
      </c>
      <c r="S79" s="15" t="s">
        <v>1089</v>
      </c>
      <c r="T79" s="15" t="s">
        <v>1090</v>
      </c>
      <c r="U79" s="15" t="s">
        <v>1230</v>
      </c>
      <c r="V79" s="15" t="n">
        <v>30000</v>
      </c>
      <c r="W79" s="15" t="n">
        <v>30000</v>
      </c>
      <c r="X79" s="15" t="s">
        <v>1092</v>
      </c>
      <c r="Y79" s="15" t="n">
        <v>0</v>
      </c>
    </row>
    <row r="80" customFormat="false" ht="13.8" hidden="true" customHeight="false" outlineLevel="0" collapsed="false">
      <c r="A80" s="15" t="s">
        <v>1093</v>
      </c>
      <c r="B80" s="15" t="s">
        <v>1226</v>
      </c>
      <c r="C80" s="15" t="n">
        <v>2011</v>
      </c>
      <c r="D80" s="15" t="s">
        <v>96</v>
      </c>
      <c r="E80" s="15" t="s">
        <v>1227</v>
      </c>
      <c r="F80" s="15" t="s">
        <v>766</v>
      </c>
      <c r="H80" s="15" t="s">
        <v>1231</v>
      </c>
      <c r="I80" s="16" t="n">
        <v>0.94</v>
      </c>
      <c r="J80" s="16" t="n">
        <v>1.58E-007</v>
      </c>
      <c r="K80" s="15" t="s">
        <v>1232</v>
      </c>
      <c r="L80" s="16" t="n">
        <v>28200</v>
      </c>
      <c r="M80" s="16" t="n">
        <v>0.00474</v>
      </c>
      <c r="N80" s="15" t="s">
        <v>1233</v>
      </c>
      <c r="P80" s="15" t="n">
        <v>-0.999999831914894</v>
      </c>
      <c r="Q80" s="15" t="s">
        <v>1089</v>
      </c>
      <c r="R80" s="15" t="n">
        <v>-0.999999831914894</v>
      </c>
      <c r="S80" s="15" t="s">
        <v>1089</v>
      </c>
      <c r="T80" s="15" t="s">
        <v>1090</v>
      </c>
      <c r="U80" s="15" t="s">
        <v>1230</v>
      </c>
      <c r="V80" s="15" t="n">
        <v>30000</v>
      </c>
      <c r="W80" s="15" t="n">
        <v>30000</v>
      </c>
      <c r="X80" s="15" t="s">
        <v>1092</v>
      </c>
      <c r="Y80" s="15" t="n">
        <v>0</v>
      </c>
    </row>
    <row r="81" customFormat="false" ht="13.8" hidden="false" customHeight="false" outlineLevel="0" collapsed="false">
      <c r="A81" s="15" t="s">
        <v>1093</v>
      </c>
      <c r="B81" s="15" t="s">
        <v>1137</v>
      </c>
      <c r="C81" s="15" t="n">
        <v>2007</v>
      </c>
      <c r="D81" s="15" t="s">
        <v>103</v>
      </c>
      <c r="E81" s="15" t="s">
        <v>1234</v>
      </c>
      <c r="F81" s="15" t="s">
        <v>766</v>
      </c>
      <c r="H81" s="15" t="s">
        <v>403</v>
      </c>
      <c r="I81" s="16" t="n">
        <v>0.974</v>
      </c>
      <c r="J81" s="16" t="n">
        <v>0.575</v>
      </c>
      <c r="K81" s="15" t="s">
        <v>1139</v>
      </c>
      <c r="L81" s="16" t="s">
        <v>1140</v>
      </c>
      <c r="M81" s="16" t="s">
        <v>1140</v>
      </c>
      <c r="N81" s="15" t="s">
        <v>628</v>
      </c>
      <c r="P81" s="15" t="n">
        <v>-0.409650924024641</v>
      </c>
      <c r="Q81" s="15" t="s">
        <v>1089</v>
      </c>
      <c r="R81" s="15" t="s">
        <v>1140</v>
      </c>
      <c r="S81" s="15" t="s">
        <v>628</v>
      </c>
      <c r="T81" s="15" t="s">
        <v>1090</v>
      </c>
      <c r="U81" s="15" t="s">
        <v>1141</v>
      </c>
      <c r="V81" s="15" t="s">
        <v>1140</v>
      </c>
      <c r="W81" s="15" t="s">
        <v>1140</v>
      </c>
      <c r="X81" s="15" t="s">
        <v>1140</v>
      </c>
      <c r="Y81" s="15" t="s">
        <v>1140</v>
      </c>
    </row>
    <row r="82" customFormat="false" ht="13.8" hidden="true" customHeight="false" outlineLevel="0" collapsed="false">
      <c r="A82" s="15" t="s">
        <v>1093</v>
      </c>
      <c r="B82" s="15" t="s">
        <v>1235</v>
      </c>
      <c r="C82" s="15" t="n">
        <v>2012</v>
      </c>
      <c r="D82" s="15" t="s">
        <v>1059</v>
      </c>
      <c r="E82" s="15" t="s">
        <v>1236</v>
      </c>
      <c r="F82" s="15" t="s">
        <v>1086</v>
      </c>
      <c r="H82" s="15" t="s">
        <v>1102</v>
      </c>
      <c r="I82" s="16" t="n">
        <v>4518.94656019656</v>
      </c>
      <c r="J82" s="16" t="n">
        <v>6802.23008849558</v>
      </c>
      <c r="K82" s="15" t="s">
        <v>1103</v>
      </c>
      <c r="L82" s="16" t="n">
        <v>147136.9</v>
      </c>
      <c r="M82" s="16" t="n">
        <v>76865.2</v>
      </c>
      <c r="N82" s="15" t="s">
        <v>1104</v>
      </c>
      <c r="O82" s="15" t="s">
        <v>1237</v>
      </c>
      <c r="P82" s="15" t="n">
        <v>0.505268982025692</v>
      </c>
      <c r="Q82" s="15" t="s">
        <v>1089</v>
      </c>
      <c r="R82" s="15" t="n">
        <v>-0.477593995795752</v>
      </c>
      <c r="S82" s="15" t="s">
        <v>1148</v>
      </c>
      <c r="T82" s="15" t="s">
        <v>1090</v>
      </c>
      <c r="U82" s="15" t="s">
        <v>1238</v>
      </c>
      <c r="V82" s="15" t="n">
        <v>32.56</v>
      </c>
      <c r="W82" s="15" t="n">
        <v>11.3</v>
      </c>
      <c r="X82" s="15" t="s">
        <v>1108</v>
      </c>
      <c r="Y82" s="15" t="n">
        <v>-0.652948402948403</v>
      </c>
    </row>
    <row r="83" customFormat="false" ht="13.8" hidden="false" customHeight="false" outlineLevel="0" collapsed="false">
      <c r="A83" s="15" t="s">
        <v>1093</v>
      </c>
      <c r="B83" s="15" t="s">
        <v>1239</v>
      </c>
      <c r="C83" s="15" t="n">
        <v>2010</v>
      </c>
      <c r="D83" s="15" t="s">
        <v>658</v>
      </c>
      <c r="E83" s="15" t="s">
        <v>1240</v>
      </c>
      <c r="F83" s="15" t="s">
        <v>766</v>
      </c>
      <c r="H83" s="15" t="s">
        <v>403</v>
      </c>
      <c r="I83" s="16" t="n">
        <v>379</v>
      </c>
      <c r="J83" s="16" t="n">
        <v>181.1</v>
      </c>
      <c r="K83" s="15" t="s">
        <v>1241</v>
      </c>
      <c r="L83" s="16" t="n">
        <v>5685</v>
      </c>
      <c r="M83" s="16" t="n">
        <v>3286.965</v>
      </c>
      <c r="N83" s="15" t="s">
        <v>1095</v>
      </c>
      <c r="O83" s="15" t="s">
        <v>1242</v>
      </c>
      <c r="P83" s="15" t="n">
        <v>-0.522163588390501</v>
      </c>
      <c r="Q83" s="15" t="s">
        <v>1089</v>
      </c>
      <c r="R83" s="15" t="n">
        <v>-0.421817941952507</v>
      </c>
      <c r="S83" s="15" t="s">
        <v>1089</v>
      </c>
      <c r="T83" s="15" t="s">
        <v>1090</v>
      </c>
      <c r="U83" s="15" t="s">
        <v>1243</v>
      </c>
      <c r="V83" s="15" t="n">
        <v>15</v>
      </c>
      <c r="W83" s="15" t="n">
        <v>18.15</v>
      </c>
      <c r="X83" s="15" t="s">
        <v>1108</v>
      </c>
      <c r="Y83" s="15" t="n">
        <v>0.21</v>
      </c>
    </row>
    <row r="84" customFormat="false" ht="13.8" hidden="false" customHeight="false" outlineLevel="0" collapsed="false">
      <c r="A84" s="15" t="s">
        <v>1093</v>
      </c>
      <c r="B84" s="15" t="s">
        <v>1239</v>
      </c>
      <c r="C84" s="15" t="n">
        <v>2010</v>
      </c>
      <c r="D84" s="15" t="s">
        <v>658</v>
      </c>
      <c r="E84" s="15" t="s">
        <v>1240</v>
      </c>
      <c r="F84" s="15" t="s">
        <v>1086</v>
      </c>
      <c r="H84" s="15" t="s">
        <v>403</v>
      </c>
      <c r="I84" s="16" t="n">
        <v>289</v>
      </c>
      <c r="J84" s="16" t="n">
        <v>55.6</v>
      </c>
      <c r="K84" s="15" t="s">
        <v>1241</v>
      </c>
      <c r="L84" s="16" t="n">
        <v>5418.75</v>
      </c>
      <c r="M84" s="16" t="n">
        <v>1834.8</v>
      </c>
      <c r="N84" s="15" t="s">
        <v>1095</v>
      </c>
      <c r="O84" s="15" t="s">
        <v>1244</v>
      </c>
      <c r="P84" s="15" t="n">
        <v>-0.807612456747405</v>
      </c>
      <c r="Q84" s="15" t="s">
        <v>1089</v>
      </c>
      <c r="R84" s="15" t="n">
        <v>-0.661397923875433</v>
      </c>
      <c r="S84" s="15" t="s">
        <v>1089</v>
      </c>
      <c r="T84" s="15" t="s">
        <v>1090</v>
      </c>
      <c r="U84" s="15" t="s">
        <v>1243</v>
      </c>
      <c r="V84" s="15" t="n">
        <v>18.75</v>
      </c>
      <c r="W84" s="15" t="n">
        <v>33</v>
      </c>
      <c r="X84" s="15" t="s">
        <v>1108</v>
      </c>
      <c r="Y84" s="15" t="n">
        <v>0.76</v>
      </c>
    </row>
    <row r="85" customFormat="false" ht="13.8" hidden="true" customHeight="false" outlineLevel="0" collapsed="false">
      <c r="A85" s="15" t="s">
        <v>1082</v>
      </c>
      <c r="B85" s="15" t="s">
        <v>1211</v>
      </c>
      <c r="C85" s="15" t="n">
        <v>2010</v>
      </c>
      <c r="D85" s="15" t="s">
        <v>142</v>
      </c>
      <c r="E85" s="15" t="s">
        <v>1245</v>
      </c>
      <c r="F85" s="15" t="s">
        <v>766</v>
      </c>
      <c r="H85" s="15" t="s">
        <v>1102</v>
      </c>
      <c r="I85" s="16" t="n">
        <v>1.4</v>
      </c>
      <c r="J85" s="16" t="n">
        <v>1.6</v>
      </c>
      <c r="K85" s="15" t="s">
        <v>297</v>
      </c>
      <c r="L85" s="16" t="n">
        <v>58800</v>
      </c>
      <c r="M85" s="16" t="n">
        <v>46400</v>
      </c>
      <c r="N85" s="15" t="s">
        <v>1246</v>
      </c>
      <c r="P85" s="15" t="n">
        <v>0.142857142857143</v>
      </c>
      <c r="Q85" s="15" t="s">
        <v>1089</v>
      </c>
      <c r="R85" s="15" t="n">
        <v>-0.210884353741497</v>
      </c>
      <c r="S85" s="15" t="s">
        <v>1089</v>
      </c>
      <c r="T85" s="15" t="s">
        <v>1090</v>
      </c>
      <c r="U85" s="15" t="s">
        <v>1247</v>
      </c>
      <c r="V85" s="15" t="n">
        <v>42000</v>
      </c>
      <c r="W85" s="15" t="n">
        <v>29000</v>
      </c>
      <c r="X85" s="15" t="s">
        <v>1092</v>
      </c>
      <c r="Y85" s="15" t="n">
        <v>-0.30952380952381</v>
      </c>
    </row>
    <row r="86" customFormat="false" ht="13.8" hidden="false" customHeight="false" outlineLevel="0" collapsed="false">
      <c r="A86" s="15" t="s">
        <v>1082</v>
      </c>
      <c r="B86" s="15" t="s">
        <v>1211</v>
      </c>
      <c r="C86" s="15" t="n">
        <v>2010</v>
      </c>
      <c r="D86" s="15" t="s">
        <v>142</v>
      </c>
      <c r="E86" s="15" t="s">
        <v>1245</v>
      </c>
      <c r="F86" s="15" t="s">
        <v>766</v>
      </c>
      <c r="H86" s="15" t="s">
        <v>403</v>
      </c>
      <c r="I86" s="16" t="n">
        <v>0.19</v>
      </c>
      <c r="J86" s="16" t="n">
        <v>0.2</v>
      </c>
      <c r="K86" s="15" t="s">
        <v>1087</v>
      </c>
      <c r="L86" s="16" t="n">
        <v>7980</v>
      </c>
      <c r="M86" s="16" t="n">
        <v>5800</v>
      </c>
      <c r="N86" s="15" t="s">
        <v>1248</v>
      </c>
      <c r="P86" s="15" t="n">
        <v>0.0526315789473684</v>
      </c>
      <c r="Q86" s="15" t="s">
        <v>1089</v>
      </c>
      <c r="R86" s="15" t="n">
        <v>-0.273182957393484</v>
      </c>
      <c r="S86" s="15" t="s">
        <v>1089</v>
      </c>
      <c r="T86" s="15" t="s">
        <v>1090</v>
      </c>
      <c r="U86" s="15" t="s">
        <v>1247</v>
      </c>
      <c r="V86" s="15" t="n">
        <v>42000</v>
      </c>
      <c r="W86" s="15" t="n">
        <v>29000</v>
      </c>
      <c r="X86" s="15" t="s">
        <v>1092</v>
      </c>
      <c r="Y86" s="15" t="n">
        <v>-0.30952380952381</v>
      </c>
    </row>
    <row r="87" customFormat="false" ht="13.8" hidden="true" customHeight="false" outlineLevel="0" collapsed="false">
      <c r="A87" s="15" t="s">
        <v>1082</v>
      </c>
      <c r="B87" s="15" t="s">
        <v>1211</v>
      </c>
      <c r="C87" s="15" t="n">
        <v>2010</v>
      </c>
      <c r="D87" s="15" t="s">
        <v>142</v>
      </c>
      <c r="E87" s="15" t="s">
        <v>1245</v>
      </c>
      <c r="F87" s="15" t="s">
        <v>766</v>
      </c>
      <c r="H87" s="15" t="s">
        <v>1133</v>
      </c>
      <c r="I87" s="16" t="n">
        <v>0.0008</v>
      </c>
      <c r="J87" s="16" t="n">
        <v>0.0015</v>
      </c>
      <c r="K87" s="15" t="s">
        <v>1249</v>
      </c>
      <c r="L87" s="16" t="n">
        <v>33.6</v>
      </c>
      <c r="M87" s="16" t="n">
        <v>43.5</v>
      </c>
      <c r="N87" s="15" t="s">
        <v>1250</v>
      </c>
      <c r="P87" s="15" t="n">
        <v>0.875</v>
      </c>
      <c r="Q87" s="15" t="s">
        <v>1089</v>
      </c>
      <c r="R87" s="15" t="n">
        <v>0.294642857142857</v>
      </c>
      <c r="S87" s="15" t="s">
        <v>1089</v>
      </c>
      <c r="T87" s="15" t="s">
        <v>1090</v>
      </c>
      <c r="U87" s="15" t="s">
        <v>1247</v>
      </c>
      <c r="V87" s="15" t="n">
        <v>42000</v>
      </c>
      <c r="W87" s="15" t="n">
        <v>29000</v>
      </c>
      <c r="X87" s="15" t="s">
        <v>1092</v>
      </c>
      <c r="Y87" s="15" t="n">
        <v>-0.30952380952381</v>
      </c>
    </row>
    <row r="88" customFormat="false" ht="13.8" hidden="true" customHeight="false" outlineLevel="0" collapsed="false">
      <c r="A88" s="15" t="s">
        <v>1082</v>
      </c>
      <c r="B88" s="15" t="s">
        <v>1211</v>
      </c>
      <c r="C88" s="15" t="n">
        <v>2010</v>
      </c>
      <c r="D88" s="15" t="s">
        <v>142</v>
      </c>
      <c r="E88" s="15" t="s">
        <v>1245</v>
      </c>
      <c r="F88" s="15" t="s">
        <v>766</v>
      </c>
      <c r="H88" s="15" t="s">
        <v>1130</v>
      </c>
      <c r="I88" s="16" t="n">
        <v>0.00081</v>
      </c>
      <c r="J88" s="16" t="n">
        <v>0.001</v>
      </c>
      <c r="K88" s="15" t="s">
        <v>1205</v>
      </c>
      <c r="L88" s="16" t="n">
        <v>34.02</v>
      </c>
      <c r="M88" s="16" t="n">
        <v>29</v>
      </c>
      <c r="N88" s="15" t="s">
        <v>1251</v>
      </c>
      <c r="P88" s="15" t="n">
        <v>0.234567901234568</v>
      </c>
      <c r="Q88" s="15" t="s">
        <v>1089</v>
      </c>
      <c r="R88" s="15" t="n">
        <v>-0.14756025867137</v>
      </c>
      <c r="S88" s="15" t="s">
        <v>1089</v>
      </c>
      <c r="T88" s="15" t="s">
        <v>1090</v>
      </c>
      <c r="U88" s="15" t="s">
        <v>1247</v>
      </c>
      <c r="V88" s="15" t="n">
        <v>42000</v>
      </c>
      <c r="W88" s="15" t="n">
        <v>29000</v>
      </c>
      <c r="X88" s="15" t="s">
        <v>1092</v>
      </c>
      <c r="Y88" s="15" t="n">
        <v>-0.30952380952381</v>
      </c>
    </row>
    <row r="89" customFormat="false" ht="13.8" hidden="true" customHeight="false" outlineLevel="0" collapsed="false">
      <c r="A89" s="15" t="s">
        <v>1082</v>
      </c>
      <c r="B89" s="15" t="s">
        <v>1211</v>
      </c>
      <c r="C89" s="15" t="n">
        <v>2010</v>
      </c>
      <c r="D89" s="15" t="s">
        <v>142</v>
      </c>
      <c r="E89" s="15" t="s">
        <v>1245</v>
      </c>
      <c r="F89" s="15" t="s">
        <v>766</v>
      </c>
      <c r="H89" s="15" t="s">
        <v>1222</v>
      </c>
      <c r="I89" s="16" t="n">
        <v>0.00036</v>
      </c>
      <c r="J89" s="16" t="n">
        <v>0.0001</v>
      </c>
      <c r="K89" s="15" t="s">
        <v>1252</v>
      </c>
      <c r="L89" s="16" t="n">
        <v>15.12</v>
      </c>
      <c r="M89" s="16" t="n">
        <v>2.9</v>
      </c>
      <c r="N89" s="15" t="s">
        <v>1253</v>
      </c>
      <c r="P89" s="15" t="n">
        <v>-0.722222222222222</v>
      </c>
      <c r="Q89" s="15" t="s">
        <v>1089</v>
      </c>
      <c r="R89" s="15" t="n">
        <v>-0.808201058201058</v>
      </c>
      <c r="S89" s="15" t="s">
        <v>1089</v>
      </c>
      <c r="T89" s="15" t="s">
        <v>1090</v>
      </c>
      <c r="U89" s="15" t="s">
        <v>1247</v>
      </c>
      <c r="V89" s="15" t="n">
        <v>42000</v>
      </c>
      <c r="W89" s="15" t="n">
        <v>29000</v>
      </c>
      <c r="X89" s="15" t="s">
        <v>1092</v>
      </c>
      <c r="Y89" s="15" t="n">
        <v>-0.30952380952381</v>
      </c>
    </row>
    <row r="90" customFormat="false" ht="13.8" hidden="true" customHeight="false" outlineLevel="0" collapsed="false">
      <c r="A90" s="15" t="s">
        <v>1082</v>
      </c>
      <c r="B90" s="15" t="s">
        <v>1211</v>
      </c>
      <c r="C90" s="15" t="n">
        <v>2010</v>
      </c>
      <c r="D90" s="15" t="s">
        <v>142</v>
      </c>
      <c r="E90" s="15" t="s">
        <v>1245</v>
      </c>
      <c r="F90" s="15" t="s">
        <v>766</v>
      </c>
      <c r="H90" s="15" t="s">
        <v>1193</v>
      </c>
      <c r="I90" s="16" t="n">
        <v>0.0001</v>
      </c>
      <c r="J90" s="16" t="n">
        <v>0.00012</v>
      </c>
      <c r="K90" s="15" t="s">
        <v>1113</v>
      </c>
      <c r="L90" s="16" t="n">
        <v>4.2</v>
      </c>
      <c r="M90" s="16" t="n">
        <v>3.48</v>
      </c>
      <c r="N90" s="15" t="s">
        <v>1254</v>
      </c>
      <c r="P90" s="15" t="n">
        <v>0.2</v>
      </c>
      <c r="Q90" s="15" t="s">
        <v>1089</v>
      </c>
      <c r="R90" s="15" t="n">
        <v>-0.171428571428571</v>
      </c>
      <c r="S90" s="15" t="s">
        <v>1089</v>
      </c>
      <c r="T90" s="15" t="s">
        <v>1090</v>
      </c>
      <c r="U90" s="15" t="s">
        <v>1247</v>
      </c>
      <c r="V90" s="15" t="n">
        <v>42000</v>
      </c>
      <c r="W90" s="15" t="n">
        <v>29000</v>
      </c>
      <c r="X90" s="15" t="s">
        <v>1092</v>
      </c>
      <c r="Y90" s="15" t="n">
        <v>-0.30952380952381</v>
      </c>
    </row>
    <row r="91" customFormat="false" ht="13.8" hidden="true" customHeight="false" outlineLevel="0" collapsed="false">
      <c r="A91" s="15" t="s">
        <v>1082</v>
      </c>
      <c r="B91" s="15" t="s">
        <v>1211</v>
      </c>
      <c r="C91" s="15" t="n">
        <v>2010</v>
      </c>
      <c r="D91" s="15" t="s">
        <v>142</v>
      </c>
      <c r="E91" s="15" t="s">
        <v>1245</v>
      </c>
      <c r="F91" s="15" t="s">
        <v>766</v>
      </c>
      <c r="H91" s="15" t="s">
        <v>1255</v>
      </c>
      <c r="I91" s="16" t="n">
        <v>2.4E-005</v>
      </c>
      <c r="J91" s="16" t="n">
        <v>5.8E-005</v>
      </c>
      <c r="K91" s="15" t="s">
        <v>1213</v>
      </c>
      <c r="L91" s="16" t="s">
        <v>628</v>
      </c>
      <c r="M91" s="16" t="s">
        <v>628</v>
      </c>
      <c r="N91" s="15" t="s">
        <v>628</v>
      </c>
      <c r="P91" s="15" t="n">
        <v>1.41666666666667</v>
      </c>
      <c r="Q91" s="15" t="s">
        <v>1089</v>
      </c>
      <c r="R91" s="15" t="s">
        <v>628</v>
      </c>
      <c r="S91" s="15" t="s">
        <v>1089</v>
      </c>
      <c r="T91" s="15" t="s">
        <v>1090</v>
      </c>
      <c r="U91" s="15" t="s">
        <v>1247</v>
      </c>
      <c r="V91" s="15" t="n">
        <v>42000</v>
      </c>
      <c r="W91" s="15" t="n">
        <v>29000</v>
      </c>
      <c r="X91" s="15" t="s">
        <v>1092</v>
      </c>
      <c r="Y91" s="15" t="n">
        <v>-0.30952380952381</v>
      </c>
    </row>
    <row r="92" customFormat="false" ht="13.8" hidden="false" customHeight="false" outlineLevel="0" collapsed="false">
      <c r="A92" s="15" t="s">
        <v>1082</v>
      </c>
      <c r="B92" s="15" t="s">
        <v>1137</v>
      </c>
      <c r="C92" s="15" t="n">
        <v>2007</v>
      </c>
      <c r="D92" s="15" t="s">
        <v>103</v>
      </c>
      <c r="E92" s="15" t="s">
        <v>1245</v>
      </c>
      <c r="F92" s="15" t="s">
        <v>766</v>
      </c>
      <c r="H92" s="15" t="s">
        <v>403</v>
      </c>
      <c r="I92" s="16" t="n">
        <v>0.203</v>
      </c>
      <c r="J92" s="16" t="n">
        <v>0.234</v>
      </c>
      <c r="K92" s="15" t="s">
        <v>1139</v>
      </c>
      <c r="L92" s="16" t="s">
        <v>1140</v>
      </c>
      <c r="M92" s="16" t="s">
        <v>1140</v>
      </c>
      <c r="N92" s="15" t="s">
        <v>628</v>
      </c>
      <c r="P92" s="15" t="n">
        <v>0.152709359605911</v>
      </c>
      <c r="Q92" s="15" t="s">
        <v>1089</v>
      </c>
      <c r="R92" s="15" t="s">
        <v>1140</v>
      </c>
      <c r="S92" s="15" t="s">
        <v>628</v>
      </c>
      <c r="T92" s="15" t="s">
        <v>1090</v>
      </c>
      <c r="U92" s="15" t="s">
        <v>1141</v>
      </c>
      <c r="V92" s="15" t="s">
        <v>1140</v>
      </c>
      <c r="W92" s="15" t="s">
        <v>1140</v>
      </c>
      <c r="X92" s="15" t="s">
        <v>1140</v>
      </c>
      <c r="Y92" s="15" t="s">
        <v>1140</v>
      </c>
    </row>
    <row r="93" customFormat="false" ht="13.8" hidden="true" customHeight="false" outlineLevel="0" collapsed="false">
      <c r="A93" s="15" t="s">
        <v>1082</v>
      </c>
      <c r="B93" s="15" t="s">
        <v>1211</v>
      </c>
      <c r="C93" s="15" t="n">
        <v>2006</v>
      </c>
      <c r="D93" s="15" t="s">
        <v>143</v>
      </c>
      <c r="E93" s="15" t="s">
        <v>1245</v>
      </c>
      <c r="F93" s="15" t="s">
        <v>766</v>
      </c>
      <c r="H93" s="15" t="s">
        <v>1153</v>
      </c>
      <c r="I93" s="16" t="n">
        <v>2.2E-005</v>
      </c>
      <c r="J93" s="16" t="n">
        <v>5.8E-005</v>
      </c>
      <c r="K93" s="15" t="s">
        <v>1213</v>
      </c>
      <c r="L93" s="16" t="s">
        <v>628</v>
      </c>
      <c r="M93" s="16" t="s">
        <v>628</v>
      </c>
      <c r="N93" s="15" t="s">
        <v>628</v>
      </c>
      <c r="P93" s="15" t="n">
        <v>1.63636363636364</v>
      </c>
      <c r="Q93" s="15" t="s">
        <v>1089</v>
      </c>
      <c r="R93" s="15" t="s">
        <v>628</v>
      </c>
      <c r="S93" s="15" t="s">
        <v>1089</v>
      </c>
      <c r="T93" s="15" t="s">
        <v>1090</v>
      </c>
      <c r="U93" s="15" t="s">
        <v>1214</v>
      </c>
      <c r="V93" s="15" t="n">
        <v>45455</v>
      </c>
      <c r="W93" s="15" t="n">
        <v>17241</v>
      </c>
      <c r="X93" s="15" t="s">
        <v>1092</v>
      </c>
      <c r="Y93" s="15" t="n">
        <v>-0.62070179298207</v>
      </c>
    </row>
    <row r="94" customFormat="false" ht="13.8" hidden="true" customHeight="false" outlineLevel="0" collapsed="false">
      <c r="A94" s="15" t="s">
        <v>1082</v>
      </c>
      <c r="B94" s="15" t="s">
        <v>1211</v>
      </c>
      <c r="C94" s="15" t="n">
        <v>2007</v>
      </c>
      <c r="D94" s="15" t="s">
        <v>143</v>
      </c>
      <c r="E94" s="15" t="s">
        <v>1245</v>
      </c>
      <c r="F94" s="15" t="s">
        <v>766</v>
      </c>
      <c r="H94" s="15" t="s">
        <v>1157</v>
      </c>
      <c r="I94" s="16" t="n">
        <v>1.26</v>
      </c>
      <c r="J94" s="16" t="n">
        <v>1.28</v>
      </c>
      <c r="K94" s="15" t="s">
        <v>297</v>
      </c>
      <c r="L94" s="16" t="n">
        <v>57273.3</v>
      </c>
      <c r="M94" s="16" t="n">
        <v>22068.48</v>
      </c>
      <c r="N94" s="15" t="s">
        <v>1246</v>
      </c>
      <c r="P94" s="15" t="n">
        <v>0.0158730158730158</v>
      </c>
      <c r="Q94" s="15" t="s">
        <v>1089</v>
      </c>
      <c r="R94" s="15" t="n">
        <v>-0.614681186521468</v>
      </c>
      <c r="S94" s="15" t="s">
        <v>1089</v>
      </c>
      <c r="T94" s="15" t="s">
        <v>1090</v>
      </c>
      <c r="U94" s="15" t="s">
        <v>1214</v>
      </c>
      <c r="V94" s="15" t="n">
        <v>45455</v>
      </c>
      <c r="W94" s="15" t="n">
        <v>17241</v>
      </c>
      <c r="X94" s="15" t="s">
        <v>1092</v>
      </c>
      <c r="Y94" s="15" t="n">
        <v>-0.62070179298207</v>
      </c>
    </row>
    <row r="95" customFormat="false" ht="13.8" hidden="false" customHeight="false" outlineLevel="0" collapsed="false">
      <c r="A95" s="15" t="s">
        <v>1082</v>
      </c>
      <c r="B95" s="15" t="s">
        <v>1211</v>
      </c>
      <c r="C95" s="15" t="n">
        <v>2006</v>
      </c>
      <c r="D95" s="15" t="s">
        <v>143</v>
      </c>
      <c r="E95" s="15" t="s">
        <v>1245</v>
      </c>
      <c r="F95" s="15" t="s">
        <v>766</v>
      </c>
      <c r="H95" s="15" t="s">
        <v>403</v>
      </c>
      <c r="I95" s="16" t="n">
        <v>0.215</v>
      </c>
      <c r="J95" s="16" t="n">
        <v>0.199</v>
      </c>
      <c r="K95" s="15" t="s">
        <v>1087</v>
      </c>
      <c r="L95" s="16" t="n">
        <v>9772.825</v>
      </c>
      <c r="M95" s="16" t="n">
        <v>3430.959</v>
      </c>
      <c r="N95" s="15" t="s">
        <v>1217</v>
      </c>
      <c r="P95" s="15" t="n">
        <v>-0.0744186046511627</v>
      </c>
      <c r="Q95" s="15" t="s">
        <v>1089</v>
      </c>
      <c r="R95" s="15" t="n">
        <v>-0.648928636295032</v>
      </c>
      <c r="S95" s="15" t="s">
        <v>1089</v>
      </c>
      <c r="T95" s="15" t="s">
        <v>1090</v>
      </c>
      <c r="U95" s="15" t="s">
        <v>1214</v>
      </c>
      <c r="V95" s="15" t="n">
        <v>45455</v>
      </c>
      <c r="W95" s="15" t="n">
        <v>17241</v>
      </c>
      <c r="X95" s="15" t="s">
        <v>1092</v>
      </c>
      <c r="Y95" s="15" t="n">
        <v>-0.62070179298207</v>
      </c>
    </row>
    <row r="96" customFormat="false" ht="13.8" hidden="true" customHeight="false" outlineLevel="0" collapsed="false">
      <c r="A96" s="15" t="s">
        <v>1082</v>
      </c>
      <c r="B96" s="15" t="s">
        <v>1211</v>
      </c>
      <c r="C96" s="15" t="n">
        <v>2006</v>
      </c>
      <c r="D96" s="15" t="s">
        <v>143</v>
      </c>
      <c r="E96" s="15" t="s">
        <v>1245</v>
      </c>
      <c r="F96" s="15" t="s">
        <v>766</v>
      </c>
      <c r="H96" s="15" t="s">
        <v>1165</v>
      </c>
      <c r="I96" s="16" t="n">
        <v>0.0011</v>
      </c>
      <c r="J96" s="16" t="n">
        <v>0.0012</v>
      </c>
      <c r="K96" s="15" t="s">
        <v>1249</v>
      </c>
      <c r="L96" s="16" t="n">
        <v>50.0005</v>
      </c>
      <c r="M96" s="16" t="n">
        <v>20.6892</v>
      </c>
      <c r="N96" s="15" t="s">
        <v>1219</v>
      </c>
      <c r="P96" s="15" t="n">
        <v>0.0909090909090908</v>
      </c>
      <c r="Q96" s="15" t="s">
        <v>1089</v>
      </c>
      <c r="R96" s="15" t="n">
        <v>-0.586220137798622</v>
      </c>
      <c r="S96" s="15" t="s">
        <v>1089</v>
      </c>
      <c r="T96" s="15" t="s">
        <v>1090</v>
      </c>
      <c r="U96" s="15" t="s">
        <v>1214</v>
      </c>
      <c r="V96" s="15" t="n">
        <v>45455</v>
      </c>
      <c r="W96" s="15" t="n">
        <v>17241</v>
      </c>
      <c r="X96" s="15" t="s">
        <v>1092</v>
      </c>
      <c r="Y96" s="15" t="n">
        <v>-0.62070179298207</v>
      </c>
    </row>
    <row r="97" customFormat="false" ht="13.8" hidden="true" customHeight="false" outlineLevel="0" collapsed="false">
      <c r="A97" s="15" t="s">
        <v>1082</v>
      </c>
      <c r="B97" s="15" t="s">
        <v>1211</v>
      </c>
      <c r="C97" s="15" t="n">
        <v>2006</v>
      </c>
      <c r="D97" s="15" t="s">
        <v>143</v>
      </c>
      <c r="E97" s="15" t="s">
        <v>1245</v>
      </c>
      <c r="F97" s="15" t="s">
        <v>766</v>
      </c>
      <c r="H97" s="15" t="s">
        <v>1130</v>
      </c>
      <c r="I97" s="16" t="n">
        <v>0.0019</v>
      </c>
      <c r="J97" s="16" t="n">
        <v>0.0008</v>
      </c>
      <c r="K97" s="15" t="s">
        <v>1205</v>
      </c>
      <c r="L97" s="16" t="n">
        <v>86.3645</v>
      </c>
      <c r="M97" s="16" t="n">
        <v>13.7928</v>
      </c>
      <c r="N97" s="15" t="s">
        <v>1221</v>
      </c>
      <c r="P97" s="15" t="n">
        <v>-0.578947368421053</v>
      </c>
      <c r="Q97" s="15" t="s">
        <v>1089</v>
      </c>
      <c r="R97" s="15" t="n">
        <v>-0.840295491781924</v>
      </c>
      <c r="S97" s="15" t="s">
        <v>1089</v>
      </c>
      <c r="T97" s="15" t="s">
        <v>1090</v>
      </c>
      <c r="U97" s="15" t="s">
        <v>1214</v>
      </c>
      <c r="V97" s="15" t="n">
        <v>45455</v>
      </c>
      <c r="W97" s="15" t="n">
        <v>17241</v>
      </c>
      <c r="X97" s="15" t="s">
        <v>1092</v>
      </c>
      <c r="Y97" s="15" t="n">
        <v>-0.62070179298207</v>
      </c>
    </row>
    <row r="98" customFormat="false" ht="13.8" hidden="true" customHeight="false" outlineLevel="0" collapsed="false">
      <c r="A98" s="15" t="s">
        <v>1082</v>
      </c>
      <c r="B98" s="15" t="s">
        <v>1211</v>
      </c>
      <c r="C98" s="15" t="n">
        <v>2007</v>
      </c>
      <c r="D98" s="15" t="s">
        <v>143</v>
      </c>
      <c r="E98" s="15" t="s">
        <v>1245</v>
      </c>
      <c r="F98" s="15" t="s">
        <v>766</v>
      </c>
      <c r="H98" s="15" t="s">
        <v>1222</v>
      </c>
      <c r="I98" s="16" t="n">
        <v>0.0005</v>
      </c>
      <c r="J98" s="16" t="n">
        <v>0.0001</v>
      </c>
      <c r="K98" s="15" t="s">
        <v>1252</v>
      </c>
      <c r="L98" s="16" t="n">
        <v>22.7275</v>
      </c>
      <c r="M98" s="16" t="n">
        <v>1.7241</v>
      </c>
      <c r="N98" s="15" t="s">
        <v>1224</v>
      </c>
      <c r="P98" s="15" t="n">
        <v>-0.8</v>
      </c>
      <c r="Q98" s="15" t="s">
        <v>1089</v>
      </c>
      <c r="R98" s="15" t="n">
        <v>-0.924140358596414</v>
      </c>
      <c r="S98" s="15" t="s">
        <v>1089</v>
      </c>
      <c r="T98" s="15" t="s">
        <v>1090</v>
      </c>
      <c r="U98" s="15" t="s">
        <v>1214</v>
      </c>
      <c r="V98" s="15" t="n">
        <v>45455</v>
      </c>
      <c r="W98" s="15" t="n">
        <v>17241</v>
      </c>
      <c r="X98" s="15" t="s">
        <v>1092</v>
      </c>
      <c r="Y98" s="15" t="n">
        <v>-0.62070179298207</v>
      </c>
    </row>
    <row r="99" customFormat="false" ht="13.8" hidden="true" customHeight="false" outlineLevel="0" collapsed="false">
      <c r="A99" s="15" t="s">
        <v>1082</v>
      </c>
      <c r="B99" s="15" t="s">
        <v>1211</v>
      </c>
      <c r="C99" s="15" t="n">
        <v>2008</v>
      </c>
      <c r="D99" s="15" t="s">
        <v>143</v>
      </c>
      <c r="E99" s="15" t="s">
        <v>1245</v>
      </c>
      <c r="F99" s="15" t="s">
        <v>766</v>
      </c>
      <c r="H99" s="15" t="s">
        <v>1112</v>
      </c>
      <c r="I99" s="16" t="n">
        <v>0.0009</v>
      </c>
      <c r="J99" s="16" t="n">
        <v>0.0011</v>
      </c>
      <c r="K99" s="15" t="s">
        <v>1113</v>
      </c>
      <c r="L99" s="16" t="n">
        <v>40.9095</v>
      </c>
      <c r="M99" s="16" t="n">
        <v>18.9651</v>
      </c>
      <c r="N99" s="15" t="s">
        <v>1225</v>
      </c>
      <c r="P99" s="15" t="n">
        <v>0.222222222222222</v>
      </c>
      <c r="Q99" s="15" t="s">
        <v>1089</v>
      </c>
      <c r="R99" s="15" t="n">
        <v>-0.536413302533641</v>
      </c>
      <c r="S99" s="15" t="s">
        <v>1089</v>
      </c>
      <c r="T99" s="15" t="s">
        <v>1090</v>
      </c>
      <c r="U99" s="15" t="s">
        <v>1214</v>
      </c>
      <c r="V99" s="15" t="n">
        <v>45455</v>
      </c>
      <c r="W99" s="15" t="n">
        <v>17241</v>
      </c>
      <c r="X99" s="15" t="s">
        <v>1092</v>
      </c>
      <c r="Y99" s="15" t="n">
        <v>-0.62070179298207</v>
      </c>
    </row>
    <row r="100" customFormat="false" ht="13.8" hidden="false" customHeight="false" outlineLevel="0" collapsed="false">
      <c r="A100" s="15" t="s">
        <v>1093</v>
      </c>
      <c r="B100" s="15" t="s">
        <v>1083</v>
      </c>
      <c r="C100" s="15" t="n">
        <v>2015</v>
      </c>
      <c r="D100" s="15" t="s">
        <v>1084</v>
      </c>
      <c r="E100" s="15" t="s">
        <v>1256</v>
      </c>
      <c r="F100" s="15" t="s">
        <v>766</v>
      </c>
      <c r="H100" s="15" t="s">
        <v>403</v>
      </c>
      <c r="I100" s="16" t="n">
        <v>0.667</v>
      </c>
      <c r="J100" s="16" t="n">
        <v>0.7</v>
      </c>
      <c r="K100" s="15" t="s">
        <v>1087</v>
      </c>
      <c r="L100" s="16" t="n">
        <v>2990.464705645</v>
      </c>
      <c r="M100" s="16" t="n">
        <v>3138.41873156147</v>
      </c>
      <c r="N100" s="15" t="s">
        <v>1095</v>
      </c>
      <c r="P100" s="15" t="n">
        <v>0.0494752623688155</v>
      </c>
      <c r="Q100" s="15" t="s">
        <v>1089</v>
      </c>
      <c r="R100" s="15" t="n">
        <v>0.0494752623688155</v>
      </c>
      <c r="S100" s="15" t="s">
        <v>1089</v>
      </c>
      <c r="T100" s="15" t="s">
        <v>1090</v>
      </c>
      <c r="U100" s="15" t="s">
        <v>1091</v>
      </c>
      <c r="V100" s="15" t="n">
        <v>4483.4553308021</v>
      </c>
      <c r="W100" s="15" t="n">
        <v>4483.4553308021</v>
      </c>
      <c r="X100" s="15" t="s">
        <v>1092</v>
      </c>
      <c r="Y100" s="15" t="n">
        <v>0</v>
      </c>
    </row>
    <row r="101" customFormat="false" ht="13.8" hidden="true" customHeight="false" outlineLevel="0" collapsed="false">
      <c r="A101" s="15" t="s">
        <v>1082</v>
      </c>
      <c r="B101" s="15" t="s">
        <v>1257</v>
      </c>
      <c r="C101" s="15" t="n">
        <v>2006</v>
      </c>
      <c r="D101" s="15" t="s">
        <v>1258</v>
      </c>
      <c r="E101" s="15" t="s">
        <v>1259</v>
      </c>
      <c r="F101" s="15" t="s">
        <v>1140</v>
      </c>
      <c r="H101" s="15" t="s">
        <v>1157</v>
      </c>
      <c r="I101" s="16" t="n">
        <v>3.65</v>
      </c>
      <c r="J101" s="16" t="n">
        <v>1.61</v>
      </c>
      <c r="K101" s="15" t="s">
        <v>297</v>
      </c>
      <c r="L101" s="16" t="n">
        <v>10950</v>
      </c>
      <c r="M101" s="16" t="n">
        <v>3542</v>
      </c>
      <c r="N101" s="15" t="s">
        <v>1246</v>
      </c>
      <c r="P101" s="15" t="n">
        <v>-0.558904109589041</v>
      </c>
      <c r="Q101" s="15" t="s">
        <v>1089</v>
      </c>
      <c r="R101" s="15" t="n">
        <v>-0.676529680365297</v>
      </c>
      <c r="S101" s="15" t="s">
        <v>1089</v>
      </c>
      <c r="T101" s="15" t="s">
        <v>1090</v>
      </c>
      <c r="U101" s="15" t="s">
        <v>1260</v>
      </c>
      <c r="V101" s="15" t="n">
        <v>3000</v>
      </c>
      <c r="W101" s="15" t="n">
        <v>2200</v>
      </c>
      <c r="X101" s="15" t="s">
        <v>1092</v>
      </c>
      <c r="Y101" s="15" t="n">
        <v>-0.266666666666667</v>
      </c>
    </row>
    <row r="102" customFormat="false" ht="13.8" hidden="true" customHeight="false" outlineLevel="0" collapsed="false">
      <c r="A102" s="15" t="s">
        <v>1082</v>
      </c>
      <c r="B102" s="15" t="s">
        <v>1261</v>
      </c>
      <c r="C102" s="15" t="n">
        <v>2010</v>
      </c>
      <c r="D102" s="15" t="s">
        <v>658</v>
      </c>
      <c r="E102" s="15" t="s">
        <v>1262</v>
      </c>
      <c r="F102" s="15" t="s">
        <v>1140</v>
      </c>
      <c r="H102" s="15" t="s">
        <v>1255</v>
      </c>
      <c r="I102" s="16" t="n">
        <v>0.32</v>
      </c>
      <c r="J102" s="16" t="n">
        <v>0.36</v>
      </c>
      <c r="K102" s="15" t="s">
        <v>1263</v>
      </c>
      <c r="L102" s="16" t="s">
        <v>628</v>
      </c>
      <c r="M102" s="16" t="s">
        <v>628</v>
      </c>
      <c r="N102" s="15" t="s">
        <v>628</v>
      </c>
      <c r="P102" s="15" t="n">
        <v>0.125</v>
      </c>
      <c r="Q102" s="15" t="s">
        <v>1089</v>
      </c>
      <c r="R102" s="15" t="s">
        <v>628</v>
      </c>
      <c r="S102" s="15" t="s">
        <v>1089</v>
      </c>
      <c r="T102" s="15" t="s">
        <v>1090</v>
      </c>
      <c r="U102" s="15" t="s">
        <v>1264</v>
      </c>
      <c r="V102" s="15" t="n">
        <v>3083</v>
      </c>
      <c r="W102" s="15" t="n">
        <v>2788</v>
      </c>
      <c r="X102" s="15" t="s">
        <v>1092</v>
      </c>
      <c r="Y102" s="15" t="n">
        <v>-0.0956860201102822</v>
      </c>
    </row>
    <row r="103" customFormat="false" ht="13.8" hidden="true" customHeight="false" outlineLevel="0" collapsed="false">
      <c r="A103" s="15" t="s">
        <v>1082</v>
      </c>
      <c r="B103" s="15" t="s">
        <v>1261</v>
      </c>
      <c r="C103" s="15" t="n">
        <v>2010</v>
      </c>
      <c r="D103" s="15" t="s">
        <v>658</v>
      </c>
      <c r="E103" s="15" t="s">
        <v>1262</v>
      </c>
      <c r="F103" s="15" t="s">
        <v>1140</v>
      </c>
      <c r="H103" s="15" t="s">
        <v>1157</v>
      </c>
      <c r="I103" s="16" t="n">
        <v>1710</v>
      </c>
      <c r="J103" s="16" t="n">
        <v>773</v>
      </c>
      <c r="K103" s="15" t="s">
        <v>1265</v>
      </c>
      <c r="L103" s="16" t="n">
        <v>5271.93</v>
      </c>
      <c r="M103" s="16" t="n">
        <v>2155.124</v>
      </c>
      <c r="N103" s="15" t="s">
        <v>1246</v>
      </c>
      <c r="P103" s="15" t="n">
        <v>-0.547953216374269</v>
      </c>
      <c r="Q103" s="15" t="s">
        <v>1089</v>
      </c>
      <c r="R103" s="15" t="n">
        <v>-0.591207774003069</v>
      </c>
      <c r="S103" s="15" t="s">
        <v>1089</v>
      </c>
      <c r="T103" s="15" t="s">
        <v>1090</v>
      </c>
      <c r="U103" s="15" t="s">
        <v>1264</v>
      </c>
      <c r="V103" s="15" t="n">
        <v>3083</v>
      </c>
      <c r="W103" s="15" t="n">
        <v>2788</v>
      </c>
      <c r="X103" s="15" t="s">
        <v>1092</v>
      </c>
      <c r="Y103" s="15" t="n">
        <v>-0.0956860201102822</v>
      </c>
    </row>
    <row r="104" customFormat="false" ht="13.8" hidden="false" customHeight="false" outlineLevel="0" collapsed="false">
      <c r="A104" s="15" t="s">
        <v>1082</v>
      </c>
      <c r="B104" s="15" t="s">
        <v>1261</v>
      </c>
      <c r="C104" s="15" t="n">
        <v>2010</v>
      </c>
      <c r="D104" s="15" t="s">
        <v>658</v>
      </c>
      <c r="E104" s="15" t="s">
        <v>1262</v>
      </c>
      <c r="F104" s="15" t="s">
        <v>1140</v>
      </c>
      <c r="H104" s="15" t="s">
        <v>403</v>
      </c>
      <c r="I104" s="16" t="n">
        <v>263</v>
      </c>
      <c r="J104" s="16" t="n">
        <v>156</v>
      </c>
      <c r="K104" s="15" t="s">
        <v>1266</v>
      </c>
      <c r="L104" s="16" t="n">
        <v>810.829</v>
      </c>
      <c r="M104" s="16" t="n">
        <v>434.928</v>
      </c>
      <c r="N104" s="15" t="s">
        <v>1248</v>
      </c>
      <c r="P104" s="15" t="n">
        <v>-0.406844106463878</v>
      </c>
      <c r="Q104" s="15" t="s">
        <v>1089</v>
      </c>
      <c r="R104" s="15" t="n">
        <v>-0.463600833221308</v>
      </c>
      <c r="S104" s="15" t="s">
        <v>1089</v>
      </c>
      <c r="T104" s="15" t="s">
        <v>1090</v>
      </c>
      <c r="U104" s="15" t="s">
        <v>1264</v>
      </c>
      <c r="V104" s="15" t="n">
        <v>3083</v>
      </c>
      <c r="W104" s="15" t="n">
        <v>2788</v>
      </c>
      <c r="X104" s="15" t="s">
        <v>1092</v>
      </c>
      <c r="Y104" s="15" t="n">
        <v>-0.0956860201102822</v>
      </c>
    </row>
    <row r="105" customFormat="false" ht="13.8" hidden="true" customHeight="false" outlineLevel="0" collapsed="false">
      <c r="A105" s="15" t="s">
        <v>1082</v>
      </c>
      <c r="B105" s="15" t="s">
        <v>1261</v>
      </c>
      <c r="C105" s="15" t="n">
        <v>2010</v>
      </c>
      <c r="D105" s="15" t="s">
        <v>658</v>
      </c>
      <c r="E105" s="15" t="s">
        <v>1262</v>
      </c>
      <c r="F105" s="15" t="s">
        <v>1140</v>
      </c>
      <c r="H105" s="15" t="s">
        <v>1130</v>
      </c>
      <c r="I105" s="16" t="n">
        <v>4.5</v>
      </c>
      <c r="J105" s="16" t="n">
        <v>2.3</v>
      </c>
      <c r="K105" s="15" t="s">
        <v>1267</v>
      </c>
      <c r="L105" s="16" t="n">
        <v>13.8735</v>
      </c>
      <c r="M105" s="16" t="n">
        <v>6.4124</v>
      </c>
      <c r="N105" s="15" t="s">
        <v>1251</v>
      </c>
      <c r="P105" s="15" t="n">
        <v>-0.488888888888889</v>
      </c>
      <c r="Q105" s="15" t="s">
        <v>1089</v>
      </c>
      <c r="R105" s="15" t="n">
        <v>-0.537795076945255</v>
      </c>
      <c r="S105" s="15" t="s">
        <v>1089</v>
      </c>
      <c r="T105" s="15" t="s">
        <v>1090</v>
      </c>
      <c r="U105" s="15" t="s">
        <v>1264</v>
      </c>
      <c r="V105" s="15" t="n">
        <v>3083</v>
      </c>
      <c r="W105" s="15" t="n">
        <v>2788</v>
      </c>
      <c r="X105" s="15" t="s">
        <v>1092</v>
      </c>
      <c r="Y105" s="15" t="n">
        <v>-0.0956860201102822</v>
      </c>
    </row>
    <row r="106" customFormat="false" ht="13.8" hidden="true" customHeight="false" outlineLevel="0" collapsed="false">
      <c r="A106" s="15" t="s">
        <v>1082</v>
      </c>
      <c r="B106" s="15" t="s">
        <v>1261</v>
      </c>
      <c r="C106" s="15" t="n">
        <v>2010</v>
      </c>
      <c r="D106" s="15" t="s">
        <v>658</v>
      </c>
      <c r="E106" s="15" t="s">
        <v>1262</v>
      </c>
      <c r="F106" s="15" t="s">
        <v>1140</v>
      </c>
      <c r="H106" s="15" t="s">
        <v>1133</v>
      </c>
      <c r="I106" s="16" t="n">
        <v>13</v>
      </c>
      <c r="J106" s="16" t="n">
        <v>5</v>
      </c>
      <c r="K106" s="15" t="s">
        <v>1268</v>
      </c>
      <c r="L106" s="16" t="n">
        <v>40.079</v>
      </c>
      <c r="M106" s="16" t="n">
        <v>13.94</v>
      </c>
      <c r="N106" s="15" t="s">
        <v>1269</v>
      </c>
      <c r="P106" s="15" t="n">
        <v>-0.615384615384615</v>
      </c>
      <c r="Q106" s="15" t="s">
        <v>1089</v>
      </c>
      <c r="R106" s="15" t="n">
        <v>-0.652186930811647</v>
      </c>
      <c r="S106" s="15" t="s">
        <v>1089</v>
      </c>
      <c r="T106" s="15" t="s">
        <v>1090</v>
      </c>
      <c r="U106" s="15" t="s">
        <v>1264</v>
      </c>
      <c r="V106" s="15" t="n">
        <v>3083</v>
      </c>
      <c r="W106" s="15" t="n">
        <v>2788</v>
      </c>
      <c r="X106" s="15" t="s">
        <v>1092</v>
      </c>
      <c r="Y106" s="15" t="n">
        <v>-0.0956860201102822</v>
      </c>
    </row>
    <row r="107" customFormat="false" ht="13.8" hidden="false" customHeight="false" outlineLevel="0" collapsed="false">
      <c r="A107" s="15" t="s">
        <v>1093</v>
      </c>
      <c r="B107" s="15" t="s">
        <v>1270</v>
      </c>
      <c r="C107" s="15" t="n">
        <v>2010</v>
      </c>
      <c r="D107" s="15" t="s">
        <v>143</v>
      </c>
      <c r="E107" s="15" t="s">
        <v>1271</v>
      </c>
      <c r="F107" s="15" t="s">
        <v>766</v>
      </c>
      <c r="H107" s="15" t="s">
        <v>403</v>
      </c>
      <c r="I107" s="16" t="n">
        <v>222</v>
      </c>
      <c r="J107" s="16" t="n">
        <v>510</v>
      </c>
      <c r="K107" s="15" t="s">
        <v>1241</v>
      </c>
      <c r="L107" s="16" t="n">
        <v>5550</v>
      </c>
      <c r="M107" s="16" t="n">
        <v>5763</v>
      </c>
      <c r="N107" s="15" t="s">
        <v>1095</v>
      </c>
      <c r="O107" s="15" t="s">
        <v>1272</v>
      </c>
      <c r="P107" s="15" t="n">
        <v>1.2972972972973</v>
      </c>
      <c r="Q107" s="15" t="s">
        <v>1089</v>
      </c>
      <c r="R107" s="15" t="n">
        <v>0.0383783783783784</v>
      </c>
      <c r="S107" s="15" t="s">
        <v>1089</v>
      </c>
      <c r="T107" s="15" t="s">
        <v>1273</v>
      </c>
      <c r="U107" s="15" t="s">
        <v>1274</v>
      </c>
      <c r="V107" s="15" t="n">
        <v>25</v>
      </c>
      <c r="W107" s="15" t="n">
        <v>11.3</v>
      </c>
      <c r="X107" s="15" t="s">
        <v>1108</v>
      </c>
      <c r="Y107" s="15" t="n">
        <v>-0.548</v>
      </c>
    </row>
    <row r="108" customFormat="false" ht="13.8" hidden="false" customHeight="false" outlineLevel="0" collapsed="false">
      <c r="A108" s="15" t="s">
        <v>1093</v>
      </c>
      <c r="B108" s="15" t="s">
        <v>1083</v>
      </c>
      <c r="C108" s="15" t="n">
        <v>2016</v>
      </c>
      <c r="D108" s="15" t="s">
        <v>1084</v>
      </c>
      <c r="E108" s="15" t="s">
        <v>1271</v>
      </c>
      <c r="F108" s="15" t="s">
        <v>1086</v>
      </c>
      <c r="H108" s="15" t="s">
        <v>403</v>
      </c>
      <c r="I108" s="16" t="n">
        <v>0.337</v>
      </c>
      <c r="J108" s="16" t="n">
        <v>0.234</v>
      </c>
      <c r="K108" s="15" t="s">
        <v>1087</v>
      </c>
      <c r="L108" s="16" t="n">
        <v>16234.108266445</v>
      </c>
      <c r="M108" s="16" t="n">
        <v>7868.4554321588</v>
      </c>
      <c r="N108" s="15" t="s">
        <v>1095</v>
      </c>
      <c r="P108" s="15" t="n">
        <v>-0.305637982195846</v>
      </c>
      <c r="Q108" s="15" t="s">
        <v>1089</v>
      </c>
      <c r="R108" s="15" t="n">
        <v>-0.515313357345137</v>
      </c>
      <c r="S108" s="15" t="s">
        <v>1089</v>
      </c>
      <c r="T108" s="15" t="s">
        <v>1090</v>
      </c>
      <c r="U108" s="15" t="s">
        <v>1091</v>
      </c>
      <c r="V108" s="15" t="n">
        <v>48172.4280903413</v>
      </c>
      <c r="W108" s="15" t="n">
        <v>33625.8779152085</v>
      </c>
      <c r="X108" s="15" t="s">
        <v>1092</v>
      </c>
      <c r="Y108" s="15" t="n">
        <v>-0.30196838215945</v>
      </c>
    </row>
    <row r="109" customFormat="false" ht="13.8" hidden="false" customHeight="false" outlineLevel="0" collapsed="false">
      <c r="A109" s="15" t="s">
        <v>1082</v>
      </c>
      <c r="B109" s="15" t="s">
        <v>1137</v>
      </c>
      <c r="C109" s="15" t="n">
        <v>2007</v>
      </c>
      <c r="D109" s="15" t="s">
        <v>103</v>
      </c>
      <c r="E109" s="15" t="s">
        <v>1275</v>
      </c>
      <c r="F109" s="15" t="s">
        <v>766</v>
      </c>
      <c r="H109" s="15" t="s">
        <v>403</v>
      </c>
      <c r="I109" s="16" t="n">
        <v>0.075</v>
      </c>
      <c r="J109" s="16" t="n">
        <v>0.044</v>
      </c>
      <c r="K109" s="15" t="s">
        <v>1139</v>
      </c>
      <c r="L109" s="16" t="s">
        <v>1140</v>
      </c>
      <c r="M109" s="16" t="s">
        <v>1140</v>
      </c>
      <c r="N109" s="15" t="s">
        <v>628</v>
      </c>
      <c r="P109" s="15" t="n">
        <v>-0.413333333333333</v>
      </c>
      <c r="Q109" s="15" t="s">
        <v>1089</v>
      </c>
      <c r="R109" s="15" t="s">
        <v>1140</v>
      </c>
      <c r="S109" s="15" t="s">
        <v>628</v>
      </c>
      <c r="T109" s="15" t="s">
        <v>1090</v>
      </c>
      <c r="U109" s="15" t="s">
        <v>1141</v>
      </c>
      <c r="V109" s="15" t="s">
        <v>1140</v>
      </c>
      <c r="W109" s="15" t="s">
        <v>1140</v>
      </c>
      <c r="X109" s="15" t="s">
        <v>1140</v>
      </c>
      <c r="Y109" s="15" t="s">
        <v>1140</v>
      </c>
    </row>
    <row r="110" customFormat="false" ht="13.8" hidden="false" customHeight="false" outlineLevel="0" collapsed="false">
      <c r="A110" s="15" t="s">
        <v>1093</v>
      </c>
      <c r="B110" s="15" t="s">
        <v>1276</v>
      </c>
      <c r="C110" s="15" t="n">
        <v>2011</v>
      </c>
      <c r="D110" s="15" t="s">
        <v>103</v>
      </c>
      <c r="E110" s="15" t="s">
        <v>1277</v>
      </c>
      <c r="F110" s="15" t="s">
        <v>766</v>
      </c>
      <c r="H110" s="15" t="s">
        <v>403</v>
      </c>
      <c r="I110" s="16" t="n">
        <v>1760</v>
      </c>
      <c r="J110" s="16" t="n">
        <v>1941</v>
      </c>
      <c r="K110" s="15" t="s">
        <v>1241</v>
      </c>
      <c r="L110" s="16" t="n">
        <v>1029600</v>
      </c>
      <c r="M110" s="16" t="n">
        <v>941385</v>
      </c>
      <c r="N110" s="15" t="s">
        <v>1095</v>
      </c>
      <c r="O110" s="15" t="s">
        <v>1278</v>
      </c>
      <c r="P110" s="15" t="n">
        <v>0.102840909090909</v>
      </c>
      <c r="Q110" s="15" t="s">
        <v>1089</v>
      </c>
      <c r="R110" s="15" t="n">
        <v>-0.0856789044289045</v>
      </c>
      <c r="S110" s="15" t="s">
        <v>1089</v>
      </c>
      <c r="T110" s="15" t="s">
        <v>1090</v>
      </c>
      <c r="U110" s="15" t="s">
        <v>1279</v>
      </c>
      <c r="V110" s="15" t="n">
        <v>58.5</v>
      </c>
      <c r="W110" s="15" t="n">
        <v>48.5</v>
      </c>
      <c r="X110" s="15" t="s">
        <v>1280</v>
      </c>
      <c r="Y110" s="15" t="n">
        <v>-0.170940170940171</v>
      </c>
    </row>
    <row r="111" customFormat="false" ht="13.8" hidden="true" customHeight="false" outlineLevel="0" collapsed="false">
      <c r="A111" s="15" t="s">
        <v>1093</v>
      </c>
      <c r="B111" s="15" t="s">
        <v>1281</v>
      </c>
      <c r="C111" s="15" t="n">
        <v>2005</v>
      </c>
      <c r="D111" s="15" t="s">
        <v>143</v>
      </c>
      <c r="E111" s="15" t="s">
        <v>1277</v>
      </c>
      <c r="F111" s="15" t="s">
        <v>766</v>
      </c>
      <c r="H111" s="15" t="s">
        <v>1102</v>
      </c>
      <c r="I111" s="16" t="n">
        <v>112</v>
      </c>
      <c r="J111" s="16" t="n">
        <v>229</v>
      </c>
      <c r="K111" s="15" t="s">
        <v>297</v>
      </c>
      <c r="L111" s="16" t="n">
        <v>31360000</v>
      </c>
      <c r="M111" s="16" t="n">
        <v>48319000</v>
      </c>
      <c r="N111" s="15" t="s">
        <v>1104</v>
      </c>
      <c r="P111" s="15" t="n">
        <v>1.04464285714286</v>
      </c>
      <c r="Q111" s="15" t="s">
        <v>1089</v>
      </c>
      <c r="R111" s="15" t="n">
        <v>0.54078443877551</v>
      </c>
      <c r="S111" s="15" t="s">
        <v>1089</v>
      </c>
      <c r="T111" s="15" t="s">
        <v>1090</v>
      </c>
      <c r="U111" s="15" t="s">
        <v>1214</v>
      </c>
      <c r="V111" s="15" t="n">
        <v>280</v>
      </c>
      <c r="W111" s="15" t="n">
        <v>211</v>
      </c>
      <c r="X111" s="15" t="s">
        <v>1108</v>
      </c>
      <c r="Y111" s="15" t="n">
        <v>-0.246428571428571</v>
      </c>
    </row>
    <row r="112" customFormat="false" ht="13.8" hidden="false" customHeight="false" outlineLevel="0" collapsed="false">
      <c r="A112" s="15" t="s">
        <v>1093</v>
      </c>
      <c r="B112" s="15" t="s">
        <v>1281</v>
      </c>
      <c r="C112" s="15" t="n">
        <v>2006</v>
      </c>
      <c r="D112" s="15" t="s">
        <v>143</v>
      </c>
      <c r="E112" s="15" t="s">
        <v>1277</v>
      </c>
      <c r="F112" s="15" t="s">
        <v>766</v>
      </c>
      <c r="H112" s="15" t="s">
        <v>403</v>
      </c>
      <c r="I112" s="16" t="n">
        <v>0.0914</v>
      </c>
      <c r="J112" s="16" t="n">
        <v>0.0175</v>
      </c>
      <c r="K112" s="15" t="s">
        <v>1087</v>
      </c>
      <c r="L112" s="16" t="n">
        <v>25592</v>
      </c>
      <c r="M112" s="16" t="n">
        <v>3692.5</v>
      </c>
      <c r="N112" s="15" t="s">
        <v>1095</v>
      </c>
      <c r="P112" s="15" t="n">
        <v>-0.808533916849015</v>
      </c>
      <c r="Q112" s="15" t="s">
        <v>1089</v>
      </c>
      <c r="R112" s="15" t="n">
        <v>-0.855716630196937</v>
      </c>
      <c r="S112" s="15" t="s">
        <v>1089</v>
      </c>
      <c r="T112" s="15" t="s">
        <v>1090</v>
      </c>
      <c r="U112" s="15" t="s">
        <v>1214</v>
      </c>
      <c r="V112" s="15" t="n">
        <v>280</v>
      </c>
      <c r="W112" s="15" t="n">
        <v>211</v>
      </c>
      <c r="X112" s="15" t="s">
        <v>1108</v>
      </c>
      <c r="Y112" s="15" t="n">
        <v>-0.246428571428571</v>
      </c>
    </row>
    <row r="113" customFormat="false" ht="13.8" hidden="true" customHeight="false" outlineLevel="0" collapsed="false">
      <c r="A113" s="15" t="s">
        <v>1093</v>
      </c>
      <c r="B113" s="15" t="s">
        <v>1281</v>
      </c>
      <c r="C113" s="15" t="n">
        <v>2006</v>
      </c>
      <c r="D113" s="15" t="s">
        <v>143</v>
      </c>
      <c r="E113" s="15" t="s">
        <v>1277</v>
      </c>
      <c r="F113" s="15" t="s">
        <v>766</v>
      </c>
      <c r="H113" s="15" t="s">
        <v>1133</v>
      </c>
      <c r="I113" s="16" t="n">
        <v>0.0013</v>
      </c>
      <c r="J113" s="16" t="n">
        <v>0.0055</v>
      </c>
      <c r="K113" s="15" t="s">
        <v>1249</v>
      </c>
      <c r="L113" s="16" t="n">
        <v>364</v>
      </c>
      <c r="M113" s="16" t="n">
        <v>1160.5</v>
      </c>
      <c r="N113" s="15" t="s">
        <v>1282</v>
      </c>
      <c r="P113" s="15" t="n">
        <v>3.23076923076923</v>
      </c>
      <c r="Q113" s="15" t="s">
        <v>1089</v>
      </c>
      <c r="R113" s="15" t="n">
        <v>2.18818681318681</v>
      </c>
      <c r="S113" s="15" t="s">
        <v>1089</v>
      </c>
      <c r="T113" s="15" t="s">
        <v>1090</v>
      </c>
      <c r="U113" s="15" t="s">
        <v>1214</v>
      </c>
      <c r="V113" s="15" t="n">
        <v>280</v>
      </c>
      <c r="W113" s="15" t="n">
        <v>211</v>
      </c>
      <c r="X113" s="15" t="s">
        <v>1108</v>
      </c>
      <c r="Y113" s="15" t="n">
        <v>-0.246428571428571</v>
      </c>
    </row>
    <row r="114" customFormat="false" ht="13.8" hidden="true" customHeight="false" outlineLevel="0" collapsed="false">
      <c r="A114" s="15" t="s">
        <v>1093</v>
      </c>
      <c r="B114" s="15" t="s">
        <v>1281</v>
      </c>
      <c r="C114" s="15" t="n">
        <v>2006</v>
      </c>
      <c r="D114" s="15" t="s">
        <v>143</v>
      </c>
      <c r="E114" s="15" t="s">
        <v>1277</v>
      </c>
      <c r="F114" s="15" t="s">
        <v>766</v>
      </c>
      <c r="H114" s="15" t="s">
        <v>1130</v>
      </c>
      <c r="I114" s="16" t="n">
        <v>0.0115</v>
      </c>
      <c r="J114" s="16" t="n">
        <v>0.0346</v>
      </c>
      <c r="K114" s="15" t="s">
        <v>1205</v>
      </c>
      <c r="L114" s="16" t="n">
        <v>3220</v>
      </c>
      <c r="M114" s="16" t="n">
        <v>7300.6</v>
      </c>
      <c r="N114" s="15" t="s">
        <v>1206</v>
      </c>
      <c r="P114" s="15" t="n">
        <v>2.00869565217391</v>
      </c>
      <c r="Q114" s="15" t="s">
        <v>1089</v>
      </c>
      <c r="R114" s="15" t="n">
        <v>1.26726708074534</v>
      </c>
      <c r="S114" s="15" t="s">
        <v>1089</v>
      </c>
      <c r="T114" s="15" t="s">
        <v>1090</v>
      </c>
      <c r="U114" s="15" t="s">
        <v>1214</v>
      </c>
      <c r="V114" s="15" t="n">
        <v>280</v>
      </c>
      <c r="W114" s="15" t="n">
        <v>211</v>
      </c>
      <c r="X114" s="15" t="s">
        <v>1108</v>
      </c>
      <c r="Y114" s="15" t="n">
        <v>-0.246428571428571</v>
      </c>
    </row>
    <row r="115" customFormat="false" ht="13.8" hidden="true" customHeight="false" outlineLevel="0" collapsed="false">
      <c r="A115" s="15" t="s">
        <v>1093</v>
      </c>
      <c r="B115" s="15" t="s">
        <v>1281</v>
      </c>
      <c r="C115" s="15" t="n">
        <v>2006</v>
      </c>
      <c r="D115" s="15" t="s">
        <v>143</v>
      </c>
      <c r="E115" s="15" t="s">
        <v>1277</v>
      </c>
      <c r="F115" s="15" t="s">
        <v>766</v>
      </c>
      <c r="H115" s="15" t="s">
        <v>1193</v>
      </c>
      <c r="I115" s="16" t="n">
        <v>0.096</v>
      </c>
      <c r="J115" s="16" t="n">
        <v>0.181</v>
      </c>
      <c r="K115" s="15" t="s">
        <v>1252</v>
      </c>
      <c r="L115" s="16" t="n">
        <v>26880</v>
      </c>
      <c r="M115" s="16" t="n">
        <v>38191</v>
      </c>
      <c r="N115" s="15" t="s">
        <v>1283</v>
      </c>
      <c r="P115" s="15" t="n">
        <v>0.885416666666667</v>
      </c>
      <c r="Q115" s="15" t="s">
        <v>1089</v>
      </c>
      <c r="R115" s="15" t="n">
        <v>0.420796130952381</v>
      </c>
      <c r="S115" s="15" t="s">
        <v>1089</v>
      </c>
      <c r="T115" s="15" t="s">
        <v>1090</v>
      </c>
      <c r="U115" s="15" t="s">
        <v>1214</v>
      </c>
      <c r="V115" s="15" t="n">
        <v>280</v>
      </c>
      <c r="W115" s="15" t="n">
        <v>211</v>
      </c>
      <c r="X115" s="15" t="s">
        <v>1108</v>
      </c>
      <c r="Y115" s="15" t="n">
        <v>-0.246428571428571</v>
      </c>
    </row>
    <row r="116" customFormat="false" ht="13.8" hidden="false" customHeight="false" outlineLevel="0" collapsed="false">
      <c r="A116" s="15" t="s">
        <v>1093</v>
      </c>
      <c r="B116" s="15" t="s">
        <v>1083</v>
      </c>
      <c r="C116" s="15" t="n">
        <v>2018</v>
      </c>
      <c r="D116" s="15" t="s">
        <v>1084</v>
      </c>
      <c r="E116" s="15" t="s">
        <v>1284</v>
      </c>
      <c r="F116" s="15" t="s">
        <v>1086</v>
      </c>
      <c r="H116" s="15" t="s">
        <v>403</v>
      </c>
      <c r="I116" s="16" t="n">
        <v>0.499</v>
      </c>
      <c r="J116" s="16" t="n">
        <v>2.945</v>
      </c>
      <c r="K116" s="15" t="s">
        <v>1087</v>
      </c>
      <c r="L116" s="16" t="n">
        <v>2796.55834522744</v>
      </c>
      <c r="M116" s="16" t="n">
        <v>3300.96218043676</v>
      </c>
      <c r="N116" s="15" t="s">
        <v>1095</v>
      </c>
      <c r="O116" s="15" t="s">
        <v>1285</v>
      </c>
      <c r="P116" s="15" t="n">
        <v>4.90180360721443</v>
      </c>
      <c r="Q116" s="15" t="s">
        <v>1089</v>
      </c>
      <c r="R116" s="15" t="n">
        <v>0.180365925878185</v>
      </c>
      <c r="S116" s="15" t="s">
        <v>1089</v>
      </c>
      <c r="T116" s="15" t="s">
        <v>1090</v>
      </c>
      <c r="U116" s="15" t="s">
        <v>1091</v>
      </c>
      <c r="V116" s="15" t="n">
        <v>5604.32534113716</v>
      </c>
      <c r="W116" s="15" t="n">
        <v>1120.87001033506</v>
      </c>
      <c r="X116" s="15" t="s">
        <v>1092</v>
      </c>
      <c r="Y116" s="15" t="n">
        <v>-0.799999118161897</v>
      </c>
    </row>
    <row r="117" customFormat="false" ht="13.8" hidden="true" customHeight="false" outlineLevel="0" collapsed="false">
      <c r="A117" s="15" t="s">
        <v>1082</v>
      </c>
      <c r="B117" s="15" t="s">
        <v>1211</v>
      </c>
      <c r="C117" s="15" t="n">
        <v>2010</v>
      </c>
      <c r="D117" s="15" t="s">
        <v>142</v>
      </c>
      <c r="E117" s="15" t="s">
        <v>476</v>
      </c>
      <c r="F117" s="15" t="s">
        <v>766</v>
      </c>
      <c r="H117" s="15" t="s">
        <v>1102</v>
      </c>
      <c r="I117" s="16" t="n">
        <v>2.4</v>
      </c>
      <c r="J117" s="16" t="n">
        <v>2</v>
      </c>
      <c r="K117" s="15" t="s">
        <v>297</v>
      </c>
      <c r="L117" s="16" t="n">
        <v>18480</v>
      </c>
      <c r="M117" s="16" t="n">
        <v>8200</v>
      </c>
      <c r="N117" s="15" t="s">
        <v>1246</v>
      </c>
      <c r="P117" s="15" t="n">
        <v>-0.166666666666667</v>
      </c>
      <c r="Q117" s="15" t="s">
        <v>1089</v>
      </c>
      <c r="R117" s="15" t="n">
        <v>-0.556277056277056</v>
      </c>
      <c r="S117" s="15" t="s">
        <v>1089</v>
      </c>
      <c r="T117" s="15" t="s">
        <v>1090</v>
      </c>
      <c r="U117" s="15" t="s">
        <v>1247</v>
      </c>
      <c r="V117" s="15" t="n">
        <v>7700</v>
      </c>
      <c r="W117" s="15" t="n">
        <v>4100</v>
      </c>
      <c r="X117" s="15" t="s">
        <v>1092</v>
      </c>
      <c r="Y117" s="15" t="n">
        <v>-0.467532467532468</v>
      </c>
    </row>
    <row r="118" customFormat="false" ht="13.8" hidden="false" customHeight="false" outlineLevel="0" collapsed="false">
      <c r="A118" s="15" t="s">
        <v>1082</v>
      </c>
      <c r="B118" s="15" t="s">
        <v>1211</v>
      </c>
      <c r="C118" s="15" t="n">
        <v>2010</v>
      </c>
      <c r="D118" s="15" t="s">
        <v>142</v>
      </c>
      <c r="E118" s="15" t="s">
        <v>476</v>
      </c>
      <c r="F118" s="15" t="s">
        <v>766</v>
      </c>
      <c r="H118" s="15" t="s">
        <v>403</v>
      </c>
      <c r="I118" s="16" t="n">
        <v>0.7</v>
      </c>
      <c r="J118" s="16" t="n">
        <v>0.8</v>
      </c>
      <c r="K118" s="15" t="s">
        <v>1087</v>
      </c>
      <c r="L118" s="16" t="n">
        <v>5390</v>
      </c>
      <c r="M118" s="16" t="n">
        <v>3280</v>
      </c>
      <c r="N118" s="15" t="s">
        <v>1248</v>
      </c>
      <c r="P118" s="15" t="n">
        <v>0.142857142857143</v>
      </c>
      <c r="Q118" s="15" t="s">
        <v>1089</v>
      </c>
      <c r="R118" s="15" t="n">
        <v>-0.391465677179963</v>
      </c>
      <c r="S118" s="15" t="s">
        <v>1089</v>
      </c>
      <c r="T118" s="15" t="s">
        <v>1090</v>
      </c>
      <c r="U118" s="15" t="s">
        <v>1247</v>
      </c>
      <c r="V118" s="15" t="n">
        <v>7700</v>
      </c>
      <c r="W118" s="15" t="n">
        <v>4100</v>
      </c>
      <c r="X118" s="15" t="s">
        <v>1092</v>
      </c>
      <c r="Y118" s="15" t="n">
        <v>-0.467532467532468</v>
      </c>
    </row>
    <row r="119" customFormat="false" ht="13.8" hidden="true" customHeight="false" outlineLevel="0" collapsed="false">
      <c r="A119" s="15" t="s">
        <v>1082</v>
      </c>
      <c r="B119" s="15" t="s">
        <v>1211</v>
      </c>
      <c r="C119" s="15" t="n">
        <v>2010</v>
      </c>
      <c r="D119" s="15" t="s">
        <v>142</v>
      </c>
      <c r="E119" s="15" t="s">
        <v>476</v>
      </c>
      <c r="F119" s="15" t="s">
        <v>766</v>
      </c>
      <c r="H119" s="15" t="s">
        <v>1133</v>
      </c>
      <c r="I119" s="16" t="n">
        <v>0.003</v>
      </c>
      <c r="J119" s="16" t="n">
        <v>0.0093</v>
      </c>
      <c r="K119" s="15" t="s">
        <v>1249</v>
      </c>
      <c r="L119" s="16" t="n">
        <v>23.1</v>
      </c>
      <c r="M119" s="16" t="n">
        <v>38.13</v>
      </c>
      <c r="N119" s="15" t="s">
        <v>1250</v>
      </c>
      <c r="P119" s="15" t="n">
        <v>2.1</v>
      </c>
      <c r="Q119" s="15" t="s">
        <v>1089</v>
      </c>
      <c r="R119" s="15" t="n">
        <v>0.65064935064935</v>
      </c>
      <c r="S119" s="15" t="s">
        <v>1089</v>
      </c>
      <c r="T119" s="15" t="s">
        <v>1090</v>
      </c>
      <c r="U119" s="15" t="s">
        <v>1247</v>
      </c>
      <c r="V119" s="15" t="n">
        <v>7700</v>
      </c>
      <c r="W119" s="15" t="n">
        <v>4100</v>
      </c>
      <c r="X119" s="15" t="s">
        <v>1092</v>
      </c>
      <c r="Y119" s="15" t="n">
        <v>-0.467532467532468</v>
      </c>
    </row>
    <row r="120" customFormat="false" ht="13.8" hidden="true" customHeight="false" outlineLevel="0" collapsed="false">
      <c r="A120" s="15" t="s">
        <v>1082</v>
      </c>
      <c r="B120" s="15" t="s">
        <v>1211</v>
      </c>
      <c r="C120" s="15" t="n">
        <v>2010</v>
      </c>
      <c r="D120" s="15" t="s">
        <v>142</v>
      </c>
      <c r="E120" s="15" t="s">
        <v>476</v>
      </c>
      <c r="F120" s="15" t="s">
        <v>766</v>
      </c>
      <c r="H120" s="15" t="s">
        <v>1130</v>
      </c>
      <c r="I120" s="16" t="n">
        <v>0.0033</v>
      </c>
      <c r="J120" s="16" t="n">
        <v>0.0036</v>
      </c>
      <c r="K120" s="15" t="s">
        <v>1205</v>
      </c>
      <c r="L120" s="16" t="n">
        <v>25.41</v>
      </c>
      <c r="M120" s="16" t="n">
        <v>14.76</v>
      </c>
      <c r="N120" s="15" t="s">
        <v>1251</v>
      </c>
      <c r="P120" s="15" t="n">
        <v>0.0909090909090908</v>
      </c>
      <c r="Q120" s="15" t="s">
        <v>1089</v>
      </c>
      <c r="R120" s="15" t="n">
        <v>-0.419126328217237</v>
      </c>
      <c r="S120" s="15" t="s">
        <v>1089</v>
      </c>
      <c r="T120" s="15" t="s">
        <v>1090</v>
      </c>
      <c r="U120" s="15" t="s">
        <v>1247</v>
      </c>
      <c r="V120" s="15" t="n">
        <v>7700</v>
      </c>
      <c r="W120" s="15" t="n">
        <v>4100</v>
      </c>
      <c r="X120" s="15" t="s">
        <v>1092</v>
      </c>
      <c r="Y120" s="15" t="n">
        <v>-0.467532467532468</v>
      </c>
    </row>
    <row r="121" customFormat="false" ht="13.8" hidden="true" customHeight="false" outlineLevel="0" collapsed="false">
      <c r="A121" s="15" t="s">
        <v>1082</v>
      </c>
      <c r="B121" s="15" t="s">
        <v>1211</v>
      </c>
      <c r="C121" s="15" t="n">
        <v>2010</v>
      </c>
      <c r="D121" s="15" t="s">
        <v>142</v>
      </c>
      <c r="E121" s="15" t="s">
        <v>476</v>
      </c>
      <c r="F121" s="15" t="s">
        <v>766</v>
      </c>
      <c r="H121" s="15" t="s">
        <v>1222</v>
      </c>
      <c r="I121" s="16" t="n">
        <v>0.92</v>
      </c>
      <c r="J121" s="16" t="n">
        <v>0</v>
      </c>
      <c r="K121" s="15" t="s">
        <v>1252</v>
      </c>
      <c r="L121" s="16" t="n">
        <v>7084</v>
      </c>
      <c r="M121" s="16" t="n">
        <v>0</v>
      </c>
      <c r="N121" s="15" t="s">
        <v>1253</v>
      </c>
      <c r="P121" s="15" t="n">
        <v>-1</v>
      </c>
      <c r="Q121" s="15" t="s">
        <v>1089</v>
      </c>
      <c r="R121" s="15" t="n">
        <v>-1</v>
      </c>
      <c r="S121" s="15" t="s">
        <v>1089</v>
      </c>
      <c r="T121" s="15" t="s">
        <v>1090</v>
      </c>
      <c r="U121" s="15" t="s">
        <v>1247</v>
      </c>
      <c r="V121" s="15" t="n">
        <v>7700</v>
      </c>
      <c r="W121" s="15" t="n">
        <v>4100</v>
      </c>
      <c r="X121" s="15" t="s">
        <v>1092</v>
      </c>
      <c r="Y121" s="15" t="n">
        <v>-0.467532467532468</v>
      </c>
    </row>
    <row r="122" customFormat="false" ht="13.8" hidden="true" customHeight="false" outlineLevel="0" collapsed="false">
      <c r="A122" s="15" t="s">
        <v>1082</v>
      </c>
      <c r="B122" s="15" t="s">
        <v>1211</v>
      </c>
      <c r="C122" s="15" t="n">
        <v>2010</v>
      </c>
      <c r="D122" s="15" t="s">
        <v>142</v>
      </c>
      <c r="E122" s="15" t="s">
        <v>476</v>
      </c>
      <c r="F122" s="15" t="s">
        <v>766</v>
      </c>
      <c r="H122" s="15" t="s">
        <v>1193</v>
      </c>
      <c r="I122" s="16" t="n">
        <v>0.0015</v>
      </c>
      <c r="J122" s="16" t="n">
        <v>0.0014</v>
      </c>
      <c r="K122" s="15" t="s">
        <v>1113</v>
      </c>
      <c r="L122" s="16" t="n">
        <v>11.55</v>
      </c>
      <c r="M122" s="16" t="n">
        <v>5.74</v>
      </c>
      <c r="N122" s="15" t="s">
        <v>1254</v>
      </c>
      <c r="P122" s="15" t="n">
        <v>-0.0666666666666667</v>
      </c>
      <c r="Q122" s="15" t="s">
        <v>1089</v>
      </c>
      <c r="R122" s="15" t="n">
        <v>-0.503030303030303</v>
      </c>
      <c r="S122" s="15" t="s">
        <v>1089</v>
      </c>
      <c r="T122" s="15" t="s">
        <v>1090</v>
      </c>
      <c r="U122" s="15" t="s">
        <v>1247</v>
      </c>
      <c r="V122" s="15" t="n">
        <v>7700</v>
      </c>
      <c r="W122" s="15" t="n">
        <v>4100</v>
      </c>
      <c r="X122" s="15" t="s">
        <v>1092</v>
      </c>
      <c r="Y122" s="15" t="n">
        <v>-0.467532467532468</v>
      </c>
    </row>
    <row r="123" customFormat="false" ht="13.8" hidden="true" customHeight="false" outlineLevel="0" collapsed="false">
      <c r="A123" s="15" t="s">
        <v>1082</v>
      </c>
      <c r="B123" s="15" t="s">
        <v>1211</v>
      </c>
      <c r="C123" s="15" t="n">
        <v>2010</v>
      </c>
      <c r="D123" s="15" t="s">
        <v>142</v>
      </c>
      <c r="E123" s="15" t="s">
        <v>476</v>
      </c>
      <c r="F123" s="15" t="s">
        <v>766</v>
      </c>
      <c r="H123" s="15" t="s">
        <v>1255</v>
      </c>
      <c r="I123" s="16" t="n">
        <v>0.00014</v>
      </c>
      <c r="J123" s="16" t="n">
        <v>0.00041</v>
      </c>
      <c r="K123" s="15" t="s">
        <v>1213</v>
      </c>
      <c r="L123" s="16" t="s">
        <v>628</v>
      </c>
      <c r="M123" s="16" t="s">
        <v>628</v>
      </c>
      <c r="N123" s="15" t="s">
        <v>628</v>
      </c>
      <c r="P123" s="15" t="n">
        <v>1.92857142857143</v>
      </c>
      <c r="Q123" s="15" t="s">
        <v>1089</v>
      </c>
      <c r="R123" s="15" t="s">
        <v>628</v>
      </c>
      <c r="S123" s="15" t="s">
        <v>1089</v>
      </c>
      <c r="T123" s="15" t="s">
        <v>1090</v>
      </c>
      <c r="U123" s="15" t="s">
        <v>1247</v>
      </c>
      <c r="V123" s="15" t="n">
        <v>7700</v>
      </c>
      <c r="W123" s="15" t="n">
        <v>4100</v>
      </c>
      <c r="X123" s="15" t="s">
        <v>1092</v>
      </c>
      <c r="Y123" s="15" t="n">
        <v>-0.467532467532468</v>
      </c>
    </row>
    <row r="124" customFormat="false" ht="13.8" hidden="true" customHeight="false" outlineLevel="0" collapsed="false">
      <c r="A124" s="15" t="s">
        <v>1082</v>
      </c>
      <c r="B124" s="15" t="s">
        <v>1211</v>
      </c>
      <c r="C124" s="15" t="n">
        <v>2006</v>
      </c>
      <c r="D124" s="15" t="s">
        <v>143</v>
      </c>
      <c r="E124" s="15" t="s">
        <v>476</v>
      </c>
      <c r="F124" s="15" t="s">
        <v>766</v>
      </c>
      <c r="H124" s="15" t="s">
        <v>1153</v>
      </c>
      <c r="I124" s="16" t="n">
        <v>0.00014</v>
      </c>
      <c r="J124" s="16" t="n">
        <v>0.00044</v>
      </c>
      <c r="K124" s="15" t="s">
        <v>1213</v>
      </c>
      <c r="L124" s="16" t="s">
        <v>628</v>
      </c>
      <c r="M124" s="16" t="s">
        <v>628</v>
      </c>
      <c r="N124" s="15" t="s">
        <v>628</v>
      </c>
      <c r="O124" s="15" t="s">
        <v>1286</v>
      </c>
      <c r="P124" s="15" t="n">
        <v>2.14285714285714</v>
      </c>
      <c r="Q124" s="15" t="s">
        <v>1089</v>
      </c>
      <c r="R124" s="15" t="s">
        <v>628</v>
      </c>
      <c r="S124" s="15" t="s">
        <v>1089</v>
      </c>
      <c r="T124" s="15" t="s">
        <v>1090</v>
      </c>
      <c r="U124" s="15" t="s">
        <v>1214</v>
      </c>
      <c r="V124" s="15" t="n">
        <v>7143</v>
      </c>
      <c r="W124" s="15" t="n">
        <v>2273</v>
      </c>
      <c r="X124" s="15" t="s">
        <v>1092</v>
      </c>
      <c r="Y124" s="15" t="n">
        <v>-0.681786364272715</v>
      </c>
    </row>
    <row r="125" customFormat="false" ht="13.8" hidden="true" customHeight="false" outlineLevel="0" collapsed="false">
      <c r="A125" s="15" t="s">
        <v>1082</v>
      </c>
      <c r="B125" s="15" t="s">
        <v>1211</v>
      </c>
      <c r="C125" s="15" t="n">
        <v>2006</v>
      </c>
      <c r="D125" s="15" t="s">
        <v>143</v>
      </c>
      <c r="E125" s="15" t="s">
        <v>476</v>
      </c>
      <c r="F125" s="15" t="s">
        <v>766</v>
      </c>
      <c r="H125" s="15" t="s">
        <v>1157</v>
      </c>
      <c r="I125" s="16" t="n">
        <v>2.46</v>
      </c>
      <c r="J125" s="16" t="n">
        <v>1.74</v>
      </c>
      <c r="K125" s="15" t="s">
        <v>1215</v>
      </c>
      <c r="L125" s="16" t="n">
        <v>17571.78</v>
      </c>
      <c r="M125" s="16" t="n">
        <v>3955.02</v>
      </c>
      <c r="N125" s="15" t="s">
        <v>1216</v>
      </c>
      <c r="O125" s="15" t="s">
        <v>1286</v>
      </c>
      <c r="P125" s="15" t="n">
        <v>-0.292682926829268</v>
      </c>
      <c r="Q125" s="15" t="s">
        <v>1089</v>
      </c>
      <c r="R125" s="15" t="n">
        <v>-0.774922062534359</v>
      </c>
      <c r="S125" s="15" t="s">
        <v>1089</v>
      </c>
      <c r="T125" s="15" t="s">
        <v>1090</v>
      </c>
      <c r="U125" s="15" t="s">
        <v>1214</v>
      </c>
      <c r="V125" s="15" t="n">
        <v>7143</v>
      </c>
      <c r="W125" s="15" t="n">
        <v>2273</v>
      </c>
      <c r="X125" s="15" t="s">
        <v>1092</v>
      </c>
      <c r="Y125" s="15" t="n">
        <v>-0.681786364272715</v>
      </c>
    </row>
    <row r="126" customFormat="false" ht="13.8" hidden="false" customHeight="false" outlineLevel="0" collapsed="false">
      <c r="A126" s="15" t="s">
        <v>1082</v>
      </c>
      <c r="B126" s="15" t="s">
        <v>1211</v>
      </c>
      <c r="C126" s="15" t="n">
        <v>2006</v>
      </c>
      <c r="D126" s="15" t="s">
        <v>143</v>
      </c>
      <c r="E126" s="15" t="s">
        <v>476</v>
      </c>
      <c r="F126" s="15" t="s">
        <v>766</v>
      </c>
      <c r="H126" s="15" t="s">
        <v>403</v>
      </c>
      <c r="I126" s="16" t="n">
        <v>0.804</v>
      </c>
      <c r="J126" s="16" t="n">
        <v>0.786</v>
      </c>
      <c r="K126" s="15" t="s">
        <v>1287</v>
      </c>
      <c r="L126" s="16" t="n">
        <v>5742.972</v>
      </c>
      <c r="M126" s="16" t="n">
        <v>1786.578</v>
      </c>
      <c r="N126" s="15" t="s">
        <v>1217</v>
      </c>
      <c r="O126" s="15" t="s">
        <v>1286</v>
      </c>
      <c r="P126" s="15" t="n">
        <v>-0.0223880597014926</v>
      </c>
      <c r="Q126" s="15" t="s">
        <v>1089</v>
      </c>
      <c r="R126" s="15" t="n">
        <v>-0.688910550147206</v>
      </c>
      <c r="S126" s="15" t="s">
        <v>1089</v>
      </c>
      <c r="T126" s="15" t="s">
        <v>1090</v>
      </c>
      <c r="U126" s="15" t="s">
        <v>1214</v>
      </c>
      <c r="V126" s="15" t="n">
        <v>7143</v>
      </c>
      <c r="W126" s="15" t="n">
        <v>2273</v>
      </c>
      <c r="X126" s="15" t="s">
        <v>1092</v>
      </c>
      <c r="Y126" s="15" t="n">
        <v>-0.681786364272715</v>
      </c>
    </row>
    <row r="127" customFormat="false" ht="13.8" hidden="true" customHeight="false" outlineLevel="0" collapsed="false">
      <c r="A127" s="15" t="s">
        <v>1082</v>
      </c>
      <c r="B127" s="15" t="s">
        <v>1211</v>
      </c>
      <c r="C127" s="15" t="n">
        <v>2006</v>
      </c>
      <c r="D127" s="15" t="s">
        <v>143</v>
      </c>
      <c r="E127" s="15" t="s">
        <v>476</v>
      </c>
      <c r="F127" s="15" t="s">
        <v>766</v>
      </c>
      <c r="H127" s="15" t="s">
        <v>1165</v>
      </c>
      <c r="I127" s="16" t="n">
        <v>0.0031</v>
      </c>
      <c r="J127" s="16" t="n">
        <v>0.0093</v>
      </c>
      <c r="K127" s="15" t="s">
        <v>1288</v>
      </c>
      <c r="L127" s="16" t="n">
        <v>22.1433</v>
      </c>
      <c r="M127" s="16" t="n">
        <v>21.1389</v>
      </c>
      <c r="N127" s="15" t="s">
        <v>1219</v>
      </c>
      <c r="O127" s="15" t="s">
        <v>1286</v>
      </c>
      <c r="P127" s="15" t="n">
        <v>2</v>
      </c>
      <c r="Q127" s="15" t="s">
        <v>1089</v>
      </c>
      <c r="R127" s="15" t="n">
        <v>-0.0453590928181437</v>
      </c>
      <c r="S127" s="15" t="s">
        <v>1089</v>
      </c>
      <c r="T127" s="15" t="s">
        <v>1090</v>
      </c>
      <c r="U127" s="15" t="s">
        <v>1214</v>
      </c>
      <c r="V127" s="15" t="n">
        <v>7143</v>
      </c>
      <c r="W127" s="15" t="n">
        <v>2273</v>
      </c>
      <c r="X127" s="15" t="s">
        <v>1092</v>
      </c>
      <c r="Y127" s="15" t="n">
        <v>-0.681786364272715</v>
      </c>
    </row>
    <row r="128" customFormat="false" ht="13.8" hidden="true" customHeight="false" outlineLevel="0" collapsed="false">
      <c r="A128" s="15" t="s">
        <v>1082</v>
      </c>
      <c r="B128" s="15" t="s">
        <v>1211</v>
      </c>
      <c r="C128" s="15" t="n">
        <v>2006</v>
      </c>
      <c r="D128" s="15" t="s">
        <v>143</v>
      </c>
      <c r="E128" s="15" t="s">
        <v>476</v>
      </c>
      <c r="F128" s="15" t="s">
        <v>766</v>
      </c>
      <c r="H128" s="15" t="s">
        <v>1130</v>
      </c>
      <c r="I128" s="16" t="n">
        <v>0.0032</v>
      </c>
      <c r="J128" s="16" t="n">
        <v>0.0034</v>
      </c>
      <c r="K128" s="15" t="s">
        <v>1220</v>
      </c>
      <c r="L128" s="16" t="n">
        <v>22.8576</v>
      </c>
      <c r="M128" s="16" t="n">
        <v>7.7282</v>
      </c>
      <c r="N128" s="15" t="s">
        <v>1221</v>
      </c>
      <c r="O128" s="15" t="s">
        <v>1286</v>
      </c>
      <c r="P128" s="15" t="n">
        <v>0.0625</v>
      </c>
      <c r="Q128" s="15" t="s">
        <v>1089</v>
      </c>
      <c r="R128" s="15" t="n">
        <v>-0.661898012039759</v>
      </c>
      <c r="S128" s="15" t="s">
        <v>1089</v>
      </c>
      <c r="T128" s="15" t="s">
        <v>1090</v>
      </c>
      <c r="U128" s="15" t="s">
        <v>1214</v>
      </c>
      <c r="V128" s="15" t="n">
        <v>7143</v>
      </c>
      <c r="W128" s="15" t="n">
        <v>2273</v>
      </c>
      <c r="X128" s="15" t="s">
        <v>1092</v>
      </c>
      <c r="Y128" s="15" t="n">
        <v>-0.681786364272715</v>
      </c>
    </row>
    <row r="129" customFormat="false" ht="13.8" hidden="true" customHeight="false" outlineLevel="0" collapsed="false">
      <c r="A129" s="15" t="s">
        <v>1082</v>
      </c>
      <c r="B129" s="15" t="s">
        <v>1211</v>
      </c>
      <c r="C129" s="15" t="n">
        <v>2006</v>
      </c>
      <c r="D129" s="15" t="s">
        <v>143</v>
      </c>
      <c r="E129" s="15" t="s">
        <v>476</v>
      </c>
      <c r="F129" s="15" t="s">
        <v>766</v>
      </c>
      <c r="H129" s="15" t="s">
        <v>1222</v>
      </c>
      <c r="I129" s="16" t="n">
        <v>0.002</v>
      </c>
      <c r="J129" s="16" t="n">
        <v>0</v>
      </c>
      <c r="K129" s="15" t="s">
        <v>1223</v>
      </c>
      <c r="L129" s="16" t="n">
        <v>14.286</v>
      </c>
      <c r="M129" s="16" t="n">
        <v>0</v>
      </c>
      <c r="N129" s="15" t="s">
        <v>1224</v>
      </c>
      <c r="O129" s="15" t="s">
        <v>1286</v>
      </c>
      <c r="P129" s="15" t="n">
        <v>-1</v>
      </c>
      <c r="Q129" s="15" t="s">
        <v>1089</v>
      </c>
      <c r="R129" s="15" t="n">
        <v>-1</v>
      </c>
      <c r="S129" s="15" t="s">
        <v>1089</v>
      </c>
      <c r="T129" s="15" t="s">
        <v>1090</v>
      </c>
      <c r="U129" s="15" t="s">
        <v>1214</v>
      </c>
      <c r="V129" s="15" t="n">
        <v>7143</v>
      </c>
      <c r="W129" s="15" t="n">
        <v>2273</v>
      </c>
      <c r="X129" s="15" t="s">
        <v>1092</v>
      </c>
      <c r="Y129" s="15" t="n">
        <v>-0.681786364272715</v>
      </c>
    </row>
    <row r="130" customFormat="false" ht="13.8" hidden="true" customHeight="false" outlineLevel="0" collapsed="false">
      <c r="A130" s="15" t="s">
        <v>1082</v>
      </c>
      <c r="B130" s="15" t="s">
        <v>1211</v>
      </c>
      <c r="C130" s="15" t="n">
        <v>2006</v>
      </c>
      <c r="D130" s="15" t="s">
        <v>143</v>
      </c>
      <c r="E130" s="15" t="s">
        <v>476</v>
      </c>
      <c r="F130" s="15" t="s">
        <v>766</v>
      </c>
      <c r="H130" s="15" t="s">
        <v>1112</v>
      </c>
      <c r="I130" s="16" t="n">
        <v>0.0015</v>
      </c>
      <c r="J130" s="16" t="n">
        <v>0.0013</v>
      </c>
      <c r="K130" s="15" t="s">
        <v>1113</v>
      </c>
      <c r="L130" s="16" t="n">
        <v>10.7145</v>
      </c>
      <c r="M130" s="16" t="n">
        <v>2.9549</v>
      </c>
      <c r="N130" s="15" t="s">
        <v>1225</v>
      </c>
      <c r="O130" s="15" t="s">
        <v>1286</v>
      </c>
      <c r="P130" s="15" t="n">
        <v>-0.133333333333333</v>
      </c>
      <c r="Q130" s="15" t="s">
        <v>1089</v>
      </c>
      <c r="R130" s="15" t="n">
        <v>-0.724214849036353</v>
      </c>
      <c r="S130" s="15" t="s">
        <v>1089</v>
      </c>
      <c r="T130" s="15" t="s">
        <v>1090</v>
      </c>
      <c r="U130" s="15" t="s">
        <v>1214</v>
      </c>
      <c r="V130" s="15" t="n">
        <v>7143</v>
      </c>
      <c r="W130" s="15" t="n">
        <v>2273</v>
      </c>
      <c r="X130" s="15" t="s">
        <v>1092</v>
      </c>
      <c r="Y130" s="15" t="n">
        <v>-0.681786364272715</v>
      </c>
    </row>
    <row r="131" customFormat="false" ht="13.8" hidden="true" customHeight="false" outlineLevel="0" collapsed="false">
      <c r="A131" s="15" t="s">
        <v>1082</v>
      </c>
      <c r="B131" s="15" t="s">
        <v>1289</v>
      </c>
      <c r="C131" s="15" t="n">
        <v>2009</v>
      </c>
      <c r="D131" s="15" t="s">
        <v>477</v>
      </c>
      <c r="E131" s="15" t="s">
        <v>476</v>
      </c>
      <c r="F131" s="15" t="s">
        <v>766</v>
      </c>
      <c r="H131" s="15" t="s">
        <v>1102</v>
      </c>
      <c r="I131" s="16" t="n">
        <v>2.0896</v>
      </c>
      <c r="J131" s="16" t="n">
        <v>1.1791</v>
      </c>
      <c r="K131" s="15" t="s">
        <v>297</v>
      </c>
      <c r="L131" s="16" t="n">
        <v>5850.88</v>
      </c>
      <c r="M131" s="16" t="n">
        <v>2476.11</v>
      </c>
      <c r="N131" s="15" t="s">
        <v>1246</v>
      </c>
      <c r="P131" s="15" t="n">
        <v>-0.43572932618683</v>
      </c>
      <c r="Q131" s="15" t="s">
        <v>1089</v>
      </c>
      <c r="R131" s="15" t="n">
        <v>-0.576796994640123</v>
      </c>
      <c r="S131" s="15" t="s">
        <v>1089</v>
      </c>
      <c r="T131" s="15" t="s">
        <v>1090</v>
      </c>
      <c r="U131" s="15" t="s">
        <v>1290</v>
      </c>
      <c r="V131" s="15" t="n">
        <v>2800</v>
      </c>
      <c r="W131" s="15" t="n">
        <v>2100</v>
      </c>
      <c r="X131" s="15" t="s">
        <v>1092</v>
      </c>
      <c r="Y131" s="15" t="n">
        <v>-0.25</v>
      </c>
    </row>
    <row r="132" customFormat="false" ht="13.8" hidden="false" customHeight="false" outlineLevel="0" collapsed="false">
      <c r="A132" s="15" t="s">
        <v>1082</v>
      </c>
      <c r="B132" s="15" t="s">
        <v>1289</v>
      </c>
      <c r="C132" s="15" t="n">
        <v>2009</v>
      </c>
      <c r="D132" s="15" t="s">
        <v>477</v>
      </c>
      <c r="E132" s="15" t="s">
        <v>476</v>
      </c>
      <c r="F132" s="15" t="s">
        <v>766</v>
      </c>
      <c r="H132" s="15" t="s">
        <v>403</v>
      </c>
      <c r="I132" s="16" t="n">
        <v>0.283582</v>
      </c>
      <c r="J132" s="16" t="n">
        <v>0.238806</v>
      </c>
      <c r="K132" s="15" t="s">
        <v>1087</v>
      </c>
      <c r="L132" s="16" t="n">
        <v>794.0296</v>
      </c>
      <c r="M132" s="16" t="n">
        <v>501.4926</v>
      </c>
      <c r="N132" s="15" t="s">
        <v>1248</v>
      </c>
      <c r="P132" s="15" t="n">
        <v>-0.157894365650852</v>
      </c>
      <c r="Q132" s="15" t="s">
        <v>1089</v>
      </c>
      <c r="R132" s="15" t="n">
        <v>-0.368420774238139</v>
      </c>
      <c r="S132" s="15" t="s">
        <v>1089</v>
      </c>
      <c r="T132" s="15" t="s">
        <v>1090</v>
      </c>
      <c r="U132" s="15" t="s">
        <v>1290</v>
      </c>
      <c r="V132" s="15" t="n">
        <v>2800</v>
      </c>
      <c r="W132" s="15" t="n">
        <v>2100</v>
      </c>
      <c r="X132" s="15" t="s">
        <v>1092</v>
      </c>
      <c r="Y132" s="15" t="n">
        <v>-0.25</v>
      </c>
    </row>
    <row r="133" customFormat="false" ht="13.8" hidden="false" customHeight="false" outlineLevel="0" collapsed="false">
      <c r="A133" s="15" t="s">
        <v>1093</v>
      </c>
      <c r="B133" s="15" t="s">
        <v>1291</v>
      </c>
      <c r="C133" s="15" t="n">
        <v>2014</v>
      </c>
      <c r="D133" s="15" t="s">
        <v>96</v>
      </c>
      <c r="E133" s="15" t="s">
        <v>1292</v>
      </c>
      <c r="F133" s="15" t="s">
        <v>1086</v>
      </c>
      <c r="H133" s="15" t="s">
        <v>403</v>
      </c>
      <c r="I133" s="16" t="n">
        <v>0.299422727272727</v>
      </c>
      <c r="J133" s="16" t="n">
        <v>0.0764909090909091</v>
      </c>
      <c r="K133" s="15" t="s">
        <v>1087</v>
      </c>
      <c r="L133" s="16" t="n">
        <v>2908.89179545455</v>
      </c>
      <c r="M133" s="16" t="n">
        <v>286.840909090909</v>
      </c>
      <c r="N133" s="15" t="s">
        <v>1095</v>
      </c>
      <c r="O133" s="15" t="s">
        <v>1293</v>
      </c>
      <c r="P133" s="15" t="n">
        <v>-0.744538733623791</v>
      </c>
      <c r="Q133" s="15" t="s">
        <v>1089</v>
      </c>
      <c r="R133" s="15" t="n">
        <v>-0.901391688223285</v>
      </c>
      <c r="S133" s="15" t="s">
        <v>1089</v>
      </c>
      <c r="T133" s="15" t="s">
        <v>1090</v>
      </c>
      <c r="U133" s="15" t="s">
        <v>1294</v>
      </c>
      <c r="V133" s="15" t="n">
        <v>9715</v>
      </c>
      <c r="W133" s="15" t="n">
        <v>3750</v>
      </c>
      <c r="X133" s="15" t="s">
        <v>1092</v>
      </c>
      <c r="Y133" s="15" t="n">
        <v>-0.613998970663922</v>
      </c>
    </row>
    <row r="134" customFormat="false" ht="13.8" hidden="true" customHeight="false" outlineLevel="0" collapsed="false">
      <c r="A134" s="15" t="s">
        <v>1093</v>
      </c>
      <c r="B134" s="15" t="s">
        <v>1291</v>
      </c>
      <c r="C134" s="15" t="n">
        <v>2014</v>
      </c>
      <c r="D134" s="15" t="s">
        <v>96</v>
      </c>
      <c r="E134" s="15" t="s">
        <v>1292</v>
      </c>
      <c r="F134" s="15" t="s">
        <v>1086</v>
      </c>
      <c r="H134" s="15" t="s">
        <v>1133</v>
      </c>
      <c r="I134" s="16" t="n">
        <v>0.00180454545454545</v>
      </c>
      <c r="J134" s="16" t="n">
        <v>0.000181818181818182</v>
      </c>
      <c r="K134" s="15" t="s">
        <v>1207</v>
      </c>
      <c r="L134" s="16" t="n">
        <v>17.5311590909091</v>
      </c>
      <c r="M134" s="16" t="n">
        <v>0.681818181818182</v>
      </c>
      <c r="N134" s="15" t="s">
        <v>1208</v>
      </c>
      <c r="O134" s="15" t="s">
        <v>1293</v>
      </c>
      <c r="P134" s="15" t="n">
        <v>-0.899244332493703</v>
      </c>
      <c r="Q134" s="15" t="s">
        <v>1089</v>
      </c>
      <c r="R134" s="15" t="n">
        <v>-0.961108208631126</v>
      </c>
      <c r="S134" s="15" t="s">
        <v>1089</v>
      </c>
      <c r="T134" s="15" t="s">
        <v>1090</v>
      </c>
      <c r="U134" s="15" t="s">
        <v>1294</v>
      </c>
      <c r="V134" s="15" t="n">
        <v>9715</v>
      </c>
      <c r="W134" s="15" t="n">
        <v>3750</v>
      </c>
      <c r="X134" s="15" t="s">
        <v>1092</v>
      </c>
      <c r="Y134" s="15" t="n">
        <v>-0.613998970663922</v>
      </c>
    </row>
    <row r="135" customFormat="false" ht="13.8" hidden="true" customHeight="false" outlineLevel="0" collapsed="false">
      <c r="A135" s="15" t="s">
        <v>1093</v>
      </c>
      <c r="B135" s="15" t="s">
        <v>1291</v>
      </c>
      <c r="C135" s="15" t="n">
        <v>2014</v>
      </c>
      <c r="D135" s="15" t="s">
        <v>96</v>
      </c>
      <c r="E135" s="15" t="s">
        <v>1292</v>
      </c>
      <c r="F135" s="15" t="s">
        <v>1086</v>
      </c>
      <c r="H135" s="15" t="s">
        <v>1130</v>
      </c>
      <c r="I135" s="16" t="n">
        <v>0.00402727272727273</v>
      </c>
      <c r="J135" s="16" t="n">
        <v>0.000672727272727273</v>
      </c>
      <c r="K135" s="15" t="s">
        <v>1205</v>
      </c>
      <c r="L135" s="16" t="n">
        <v>39.1249545454545</v>
      </c>
      <c r="M135" s="16" t="n">
        <v>2.52272727272727</v>
      </c>
      <c r="N135" s="15" t="s">
        <v>1206</v>
      </c>
      <c r="O135" s="15" t="s">
        <v>1293</v>
      </c>
      <c r="P135" s="15" t="n">
        <v>-0.832957110609481</v>
      </c>
      <c r="Q135" s="15" t="s">
        <v>1089</v>
      </c>
      <c r="R135" s="15" t="n">
        <v>-0.935521272751987</v>
      </c>
      <c r="S135" s="15" t="s">
        <v>1089</v>
      </c>
      <c r="T135" s="15" t="s">
        <v>1090</v>
      </c>
      <c r="U135" s="15" t="s">
        <v>1294</v>
      </c>
      <c r="V135" s="15" t="n">
        <v>9715</v>
      </c>
      <c r="W135" s="15" t="n">
        <v>3750</v>
      </c>
      <c r="X135" s="15" t="s">
        <v>1092</v>
      </c>
      <c r="Y135" s="15" t="n">
        <v>-0.613998970663922</v>
      </c>
    </row>
    <row r="136" customFormat="false" ht="13.8" hidden="true" customHeight="false" outlineLevel="0" collapsed="false">
      <c r="A136" s="15" t="s">
        <v>1093</v>
      </c>
      <c r="B136" s="15" t="s">
        <v>1291</v>
      </c>
      <c r="C136" s="15" t="n">
        <v>2014</v>
      </c>
      <c r="D136" s="15" t="s">
        <v>96</v>
      </c>
      <c r="E136" s="15" t="s">
        <v>1292</v>
      </c>
      <c r="F136" s="15" t="s">
        <v>1086</v>
      </c>
      <c r="H136" s="15" t="s">
        <v>1193</v>
      </c>
      <c r="I136" s="16" t="n">
        <v>0.00173181818181818</v>
      </c>
      <c r="J136" s="16" t="n">
        <v>0.000495454545454545</v>
      </c>
      <c r="K136" s="15" t="s">
        <v>1194</v>
      </c>
      <c r="L136" s="16" t="n">
        <v>16.8246136363636</v>
      </c>
      <c r="M136" s="16" t="n">
        <v>1.85795454545455</v>
      </c>
      <c r="N136" s="15" t="s">
        <v>1195</v>
      </c>
      <c r="O136" s="15" t="s">
        <v>1293</v>
      </c>
      <c r="P136" s="15" t="n">
        <v>-0.713910761154856</v>
      </c>
      <c r="Q136" s="15" t="s">
        <v>1089</v>
      </c>
      <c r="R136" s="15" t="n">
        <v>-0.889569259323799</v>
      </c>
      <c r="S136" s="15" t="s">
        <v>1089</v>
      </c>
      <c r="T136" s="15" t="s">
        <v>1090</v>
      </c>
      <c r="U136" s="15" t="s">
        <v>1294</v>
      </c>
      <c r="V136" s="15" t="n">
        <v>9715</v>
      </c>
      <c r="W136" s="15" t="n">
        <v>3750</v>
      </c>
      <c r="X136" s="15" t="s">
        <v>1092</v>
      </c>
      <c r="Y136" s="15" t="n">
        <v>-0.613998970663922</v>
      </c>
    </row>
    <row r="137" customFormat="false" ht="13.8" hidden="true" customHeight="false" outlineLevel="0" collapsed="false">
      <c r="A137" s="15" t="s">
        <v>1093</v>
      </c>
      <c r="B137" s="15" t="s">
        <v>1291</v>
      </c>
      <c r="C137" s="15" t="n">
        <v>2014</v>
      </c>
      <c r="D137" s="15" t="s">
        <v>96</v>
      </c>
      <c r="E137" s="15" t="s">
        <v>1292</v>
      </c>
      <c r="F137" s="15" t="s">
        <v>1086</v>
      </c>
      <c r="H137" s="15" t="s">
        <v>1118</v>
      </c>
      <c r="I137" s="16" t="n">
        <v>4.66818181818182E-008</v>
      </c>
      <c r="J137" s="16" t="n">
        <v>7.65E-009</v>
      </c>
      <c r="K137" s="15" t="s">
        <v>1119</v>
      </c>
      <c r="L137" s="16" t="n">
        <v>0.000453513863636364</v>
      </c>
      <c r="M137" s="16" t="n">
        <v>2.86875E-005</v>
      </c>
      <c r="N137" s="15" t="s">
        <v>1295</v>
      </c>
      <c r="O137" s="15" t="s">
        <v>1293</v>
      </c>
      <c r="P137" s="15" t="n">
        <v>-0.836124634858812</v>
      </c>
      <c r="Q137" s="15" t="s">
        <v>1089</v>
      </c>
      <c r="R137" s="15" t="n">
        <v>-0.936743940372676</v>
      </c>
      <c r="S137" s="15" t="s">
        <v>1089</v>
      </c>
      <c r="T137" s="15" t="s">
        <v>1090</v>
      </c>
      <c r="U137" s="15" t="s">
        <v>1294</v>
      </c>
      <c r="V137" s="15" t="n">
        <v>9715</v>
      </c>
      <c r="W137" s="15" t="n">
        <v>3750</v>
      </c>
      <c r="X137" s="15" t="s">
        <v>1092</v>
      </c>
      <c r="Y137" s="15" t="n">
        <v>-0.613998970663922</v>
      </c>
    </row>
    <row r="138" customFormat="false" ht="13.8" hidden="true" customHeight="false" outlineLevel="0" collapsed="false">
      <c r="A138" s="15" t="s">
        <v>1093</v>
      </c>
      <c r="B138" s="15" t="s">
        <v>1291</v>
      </c>
      <c r="C138" s="15" t="n">
        <v>2014</v>
      </c>
      <c r="D138" s="15" t="s">
        <v>96</v>
      </c>
      <c r="E138" s="15" t="s">
        <v>1292</v>
      </c>
      <c r="F138" s="15" t="s">
        <v>1086</v>
      </c>
      <c r="H138" s="15" t="s">
        <v>1127</v>
      </c>
      <c r="I138" s="16" t="n">
        <v>0.000140909090909091</v>
      </c>
      <c r="J138" s="16" t="n">
        <v>3.00454545454545E-005</v>
      </c>
      <c r="K138" s="15" t="s">
        <v>1203</v>
      </c>
      <c r="L138" s="16" t="n">
        <v>1.36893181818182</v>
      </c>
      <c r="M138" s="16" t="n">
        <v>0.112670454545455</v>
      </c>
      <c r="N138" s="15" t="s">
        <v>1204</v>
      </c>
      <c r="O138" s="15" t="s">
        <v>1293</v>
      </c>
      <c r="P138" s="15" t="n">
        <v>-0.786774193548387</v>
      </c>
      <c r="Q138" s="15" t="s">
        <v>1089</v>
      </c>
      <c r="R138" s="15" t="n">
        <v>-0.917694619228662</v>
      </c>
      <c r="S138" s="15" t="s">
        <v>1089</v>
      </c>
      <c r="T138" s="15" t="s">
        <v>1090</v>
      </c>
      <c r="U138" s="15" t="s">
        <v>1294</v>
      </c>
      <c r="V138" s="15" t="n">
        <v>9715</v>
      </c>
      <c r="W138" s="15" t="n">
        <v>3750</v>
      </c>
      <c r="X138" s="15" t="s">
        <v>1092</v>
      </c>
      <c r="Y138" s="15" t="n">
        <v>-0.613998970663922</v>
      </c>
    </row>
    <row r="139" customFormat="false" ht="13.8" hidden="true" customHeight="false" outlineLevel="0" collapsed="false">
      <c r="A139" s="15" t="s">
        <v>1093</v>
      </c>
      <c r="B139" s="15" t="s">
        <v>1291</v>
      </c>
      <c r="C139" s="15" t="n">
        <v>2014</v>
      </c>
      <c r="D139" s="15" t="s">
        <v>96</v>
      </c>
      <c r="E139" s="15" t="s">
        <v>1292</v>
      </c>
      <c r="F139" s="15" t="s">
        <v>1086</v>
      </c>
      <c r="H139" s="15" t="s">
        <v>1296</v>
      </c>
      <c r="I139" s="16" t="n">
        <v>24.3181818181818</v>
      </c>
      <c r="J139" s="16" t="n">
        <v>0.314090909090909</v>
      </c>
      <c r="K139" s="15" t="s">
        <v>294</v>
      </c>
      <c r="L139" s="16" t="n">
        <v>236251.136363636</v>
      </c>
      <c r="M139" s="16" t="n">
        <v>1177.84090909091</v>
      </c>
      <c r="N139" s="15" t="s">
        <v>1297</v>
      </c>
      <c r="O139" s="15" t="s">
        <v>1293</v>
      </c>
      <c r="P139" s="15" t="n">
        <v>-0.987084112149533</v>
      </c>
      <c r="Q139" s="15" t="s">
        <v>1089</v>
      </c>
      <c r="R139" s="15" t="n">
        <v>-0.99501445399493</v>
      </c>
      <c r="S139" s="15" t="s">
        <v>1089</v>
      </c>
      <c r="T139" s="15" t="s">
        <v>1090</v>
      </c>
      <c r="U139" s="15" t="s">
        <v>1294</v>
      </c>
      <c r="V139" s="15" t="n">
        <v>9715</v>
      </c>
      <c r="W139" s="15" t="n">
        <v>3750</v>
      </c>
      <c r="X139" s="15" t="s">
        <v>1092</v>
      </c>
      <c r="Y139" s="15" t="n">
        <v>-0.613998970663922</v>
      </c>
    </row>
    <row r="140" customFormat="false" ht="13.8" hidden="true" customHeight="false" outlineLevel="0" collapsed="false">
      <c r="A140" s="15" t="s">
        <v>1093</v>
      </c>
      <c r="B140" s="15" t="s">
        <v>1291</v>
      </c>
      <c r="C140" s="15" t="n">
        <v>2014</v>
      </c>
      <c r="D140" s="15" t="s">
        <v>96</v>
      </c>
      <c r="E140" s="15" t="s">
        <v>1292</v>
      </c>
      <c r="F140" s="15" t="s">
        <v>1086</v>
      </c>
      <c r="H140" s="15" t="s">
        <v>1255</v>
      </c>
      <c r="I140" s="16" t="n">
        <v>0.959090909090909</v>
      </c>
      <c r="J140" s="16" t="n">
        <v>2.22727272727273</v>
      </c>
      <c r="K140" s="15" t="s">
        <v>1298</v>
      </c>
      <c r="L140" s="16" t="s">
        <v>628</v>
      </c>
      <c r="M140" s="16" t="s">
        <v>628</v>
      </c>
      <c r="N140" s="15" t="s">
        <v>628</v>
      </c>
      <c r="O140" s="15" t="s">
        <v>1293</v>
      </c>
      <c r="P140" s="15" t="n">
        <v>1.32227488151659</v>
      </c>
      <c r="Q140" s="15" t="s">
        <v>1089</v>
      </c>
      <c r="R140" s="15" t="s">
        <v>628</v>
      </c>
      <c r="S140" s="15" t="s">
        <v>1089</v>
      </c>
      <c r="T140" s="15" t="s">
        <v>1090</v>
      </c>
      <c r="U140" s="15" t="s">
        <v>1294</v>
      </c>
      <c r="V140" s="15" t="n">
        <v>9715</v>
      </c>
      <c r="W140" s="15" t="n">
        <v>3750</v>
      </c>
      <c r="X140" s="15" t="s">
        <v>1092</v>
      </c>
      <c r="Y140" s="15" t="n">
        <v>-0.613998970663922</v>
      </c>
    </row>
    <row r="141" customFormat="false" ht="13.8" hidden="false" customHeight="false" outlineLevel="0" collapsed="false">
      <c r="A141" s="15" t="s">
        <v>1093</v>
      </c>
      <c r="B141" s="15" t="s">
        <v>1083</v>
      </c>
      <c r="C141" s="15" t="n">
        <v>2014</v>
      </c>
      <c r="D141" s="15" t="s">
        <v>1084</v>
      </c>
      <c r="E141" s="15" t="s">
        <v>1299</v>
      </c>
      <c r="F141" s="15" t="s">
        <v>1086</v>
      </c>
      <c r="H141" s="15" t="s">
        <v>403</v>
      </c>
      <c r="I141" s="16" t="n">
        <v>0.272</v>
      </c>
      <c r="J141" s="16" t="n">
        <v>0.244</v>
      </c>
      <c r="K141" s="15" t="s">
        <v>1087</v>
      </c>
      <c r="L141" s="16" t="n">
        <v>3658.49282866814</v>
      </c>
      <c r="M141" s="16" t="n">
        <v>3281.88327277583</v>
      </c>
      <c r="N141" s="15" t="s">
        <v>1095</v>
      </c>
      <c r="O141" s="15" t="s">
        <v>1300</v>
      </c>
      <c r="P141" s="15" t="n">
        <v>-0.102941176470588</v>
      </c>
      <c r="Q141" s="15" t="s">
        <v>1089</v>
      </c>
      <c r="R141" s="15" t="n">
        <v>-0.102941176470588</v>
      </c>
      <c r="S141" s="15" t="s">
        <v>1089</v>
      </c>
      <c r="T141" s="15" t="s">
        <v>1090</v>
      </c>
      <c r="U141" s="15" t="s">
        <v>1091</v>
      </c>
      <c r="V141" s="15" t="n">
        <v>13450.3412818682</v>
      </c>
      <c r="W141" s="15" t="n">
        <v>13450.3412818682</v>
      </c>
      <c r="X141" s="15" t="s">
        <v>1092</v>
      </c>
      <c r="Y141" s="15" t="n">
        <v>0</v>
      </c>
    </row>
    <row r="142" customFormat="false" ht="13.8" hidden="false" customHeight="false" outlineLevel="0" collapsed="false">
      <c r="A142" s="15" t="s">
        <v>1093</v>
      </c>
      <c r="B142" s="15" t="s">
        <v>1083</v>
      </c>
      <c r="C142" s="15" t="n">
        <v>2015</v>
      </c>
      <c r="D142" s="15" t="s">
        <v>1084</v>
      </c>
      <c r="E142" s="15" t="s">
        <v>1301</v>
      </c>
      <c r="F142" s="15" t="s">
        <v>1086</v>
      </c>
      <c r="H142" s="15" t="s">
        <v>403</v>
      </c>
      <c r="I142" s="16" t="n">
        <v>0.205</v>
      </c>
      <c r="J142" s="16" t="n">
        <v>0.179</v>
      </c>
      <c r="K142" s="15" t="s">
        <v>1087</v>
      </c>
      <c r="L142" s="16" t="n">
        <v>2642.43585238395</v>
      </c>
      <c r="M142" s="16" t="n">
        <v>2006.34404894078</v>
      </c>
      <c r="N142" s="15" t="s">
        <v>1095</v>
      </c>
      <c r="O142" s="15" t="s">
        <v>1302</v>
      </c>
      <c r="P142" s="15" t="n">
        <v>-0.126829268292683</v>
      </c>
      <c r="Q142" s="15" t="s">
        <v>1089</v>
      </c>
      <c r="R142" s="15" t="n">
        <v>-0.240721757869469</v>
      </c>
      <c r="S142" s="15" t="s">
        <v>1089</v>
      </c>
      <c r="T142" s="15" t="s">
        <v>1090</v>
      </c>
      <c r="U142" s="15" t="s">
        <v>1091</v>
      </c>
      <c r="V142" s="15" t="n">
        <v>12889.9309872388</v>
      </c>
      <c r="W142" s="15" t="n">
        <v>11208.6259717362</v>
      </c>
      <c r="X142" s="15" t="s">
        <v>1092</v>
      </c>
      <c r="Y142" s="15" t="n">
        <v>-0.130435532755537</v>
      </c>
    </row>
    <row r="143" customFormat="false" ht="13.8" hidden="true" customHeight="false" outlineLevel="0" collapsed="false">
      <c r="A143" s="15" t="s">
        <v>196</v>
      </c>
      <c r="B143" s="15" t="s">
        <v>1211</v>
      </c>
      <c r="C143" s="15" t="n">
        <v>2006</v>
      </c>
      <c r="D143" s="15" t="s">
        <v>145</v>
      </c>
      <c r="F143" s="15" t="s">
        <v>1303</v>
      </c>
      <c r="G143" s="15" t="s">
        <v>1304</v>
      </c>
      <c r="H143" s="15" t="s">
        <v>1157</v>
      </c>
      <c r="I143" s="16" t="n">
        <v>27.8</v>
      </c>
      <c r="J143" s="16" t="n">
        <v>18.1</v>
      </c>
      <c r="K143" s="15" t="s">
        <v>1305</v>
      </c>
      <c r="L143" s="16" t="n">
        <v>12086.9565217391</v>
      </c>
      <c r="M143" s="16" t="n">
        <v>4299.28741092637</v>
      </c>
      <c r="N143" s="15" t="s">
        <v>1246</v>
      </c>
      <c r="P143" s="15" t="n">
        <v>-0.348920863309352</v>
      </c>
      <c r="Q143" s="15" t="s">
        <v>1089</v>
      </c>
      <c r="R143" s="15" t="n">
        <v>-0.644303559527675</v>
      </c>
      <c r="S143" s="15" t="s">
        <v>1089</v>
      </c>
      <c r="T143" s="15" t="s">
        <v>1090</v>
      </c>
      <c r="U143" s="15" t="s">
        <v>1214</v>
      </c>
      <c r="V143" s="15" t="n">
        <v>434.782608695652</v>
      </c>
      <c r="W143" s="15" t="n">
        <v>237.529691211401</v>
      </c>
      <c r="X143" s="15" t="s">
        <v>1306</v>
      </c>
      <c r="Y143" s="15" t="n">
        <v>-0.453681710213777</v>
      </c>
    </row>
    <row r="144" customFormat="false" ht="13.8" hidden="true" customHeight="false" outlineLevel="0" collapsed="false">
      <c r="A144" s="15" t="s">
        <v>196</v>
      </c>
      <c r="B144" s="15" t="s">
        <v>1211</v>
      </c>
      <c r="C144" s="15" t="n">
        <v>2006</v>
      </c>
      <c r="D144" s="15" t="s">
        <v>145</v>
      </c>
      <c r="F144" s="15" t="s">
        <v>1303</v>
      </c>
      <c r="G144" s="15" t="s">
        <v>1304</v>
      </c>
      <c r="H144" s="15" t="s">
        <v>403</v>
      </c>
      <c r="I144" s="16" t="n">
        <v>15.8</v>
      </c>
      <c r="J144" s="16" t="n">
        <v>18.2</v>
      </c>
      <c r="K144" s="57" t="s">
        <v>1307</v>
      </c>
      <c r="L144" s="16" t="n">
        <v>6869.56521739131</v>
      </c>
      <c r="M144" s="16" t="n">
        <v>4323.04038004751</v>
      </c>
      <c r="N144" s="57" t="s">
        <v>1308</v>
      </c>
      <c r="P144" s="15" t="n">
        <v>0.151898734177215</v>
      </c>
      <c r="Q144" s="15" t="s">
        <v>1089</v>
      </c>
      <c r="R144" s="15" t="n">
        <v>-0.370696653537388</v>
      </c>
      <c r="S144" s="15" t="s">
        <v>1089</v>
      </c>
      <c r="T144" s="15" t="s">
        <v>1090</v>
      </c>
      <c r="U144" s="15" t="s">
        <v>1214</v>
      </c>
      <c r="V144" s="15" t="n">
        <v>434.782608695652</v>
      </c>
      <c r="W144" s="15" t="n">
        <v>237.529691211401</v>
      </c>
      <c r="X144" s="15" t="s">
        <v>1306</v>
      </c>
      <c r="Y144" s="15" t="n">
        <v>-0.453681710213777</v>
      </c>
    </row>
    <row r="145" customFormat="false" ht="13.8" hidden="true" customHeight="false" outlineLevel="0" collapsed="false">
      <c r="A145" s="15" t="s">
        <v>196</v>
      </c>
      <c r="B145" s="15" t="s">
        <v>1211</v>
      </c>
      <c r="C145" s="15" t="n">
        <v>2006</v>
      </c>
      <c r="D145" s="15" t="s">
        <v>145</v>
      </c>
      <c r="F145" s="15" t="s">
        <v>1303</v>
      </c>
      <c r="G145" s="15" t="s">
        <v>1304</v>
      </c>
      <c r="H145" s="15" t="s">
        <v>1165</v>
      </c>
      <c r="I145" s="16" t="n">
        <v>0.157</v>
      </c>
      <c r="J145" s="16" t="n">
        <v>0.326</v>
      </c>
      <c r="K145" s="57" t="s">
        <v>1309</v>
      </c>
      <c r="L145" s="16" t="n">
        <v>68.2608695652174</v>
      </c>
      <c r="M145" s="16" t="n">
        <v>77.4346793349169</v>
      </c>
      <c r="N145" s="57" t="s">
        <v>1310</v>
      </c>
      <c r="P145" s="15" t="n">
        <v>1.07643312101911</v>
      </c>
      <c r="Q145" s="15" t="s">
        <v>1089</v>
      </c>
      <c r="R145" s="15" t="n">
        <v>0.134393391530629</v>
      </c>
      <c r="S145" s="15" t="s">
        <v>1089</v>
      </c>
      <c r="T145" s="15" t="s">
        <v>1090</v>
      </c>
      <c r="U145" s="15" t="s">
        <v>1214</v>
      </c>
      <c r="V145" s="15" t="n">
        <v>434.782608695652</v>
      </c>
      <c r="W145" s="15" t="n">
        <v>237.529691211401</v>
      </c>
      <c r="X145" s="15" t="s">
        <v>1306</v>
      </c>
      <c r="Y145" s="15" t="n">
        <v>-0.453681710213777</v>
      </c>
    </row>
    <row r="146" customFormat="false" ht="13.8" hidden="true" customHeight="false" outlineLevel="0" collapsed="false">
      <c r="A146" s="15" t="s">
        <v>196</v>
      </c>
      <c r="B146" s="15" t="s">
        <v>1211</v>
      </c>
      <c r="C146" s="15" t="n">
        <v>2006</v>
      </c>
      <c r="D146" s="15" t="s">
        <v>145</v>
      </c>
      <c r="F146" s="15" t="s">
        <v>1303</v>
      </c>
      <c r="G146" s="15" t="s">
        <v>1304</v>
      </c>
      <c r="H146" s="15" t="s">
        <v>1311</v>
      </c>
      <c r="I146" s="16" t="n">
        <v>0.469</v>
      </c>
      <c r="J146" s="16" t="n">
        <v>0.711</v>
      </c>
      <c r="K146" s="15" t="s">
        <v>1312</v>
      </c>
      <c r="L146" s="16" t="n">
        <v>203.913043478261</v>
      </c>
      <c r="M146" s="16" t="n">
        <v>168.883610451306</v>
      </c>
      <c r="N146" s="15" t="s">
        <v>1169</v>
      </c>
      <c r="P146" s="15" t="n">
        <v>0.515991471215352</v>
      </c>
      <c r="Q146" s="15" t="s">
        <v>1089</v>
      </c>
      <c r="R146" s="15" t="n">
        <v>-0.171786132115129</v>
      </c>
      <c r="S146" s="15" t="s">
        <v>1089</v>
      </c>
      <c r="T146" s="15" t="s">
        <v>1090</v>
      </c>
      <c r="U146" s="15" t="s">
        <v>1214</v>
      </c>
      <c r="V146" s="15" t="n">
        <v>434.782608695652</v>
      </c>
      <c r="W146" s="15" t="n">
        <v>237.529691211401</v>
      </c>
      <c r="X146" s="15" t="s">
        <v>1306</v>
      </c>
      <c r="Y146" s="15" t="n">
        <v>-0.453681710213777</v>
      </c>
    </row>
    <row r="147" customFormat="false" ht="13.8" hidden="true" customHeight="false" outlineLevel="0" collapsed="false">
      <c r="A147" s="15" t="s">
        <v>196</v>
      </c>
      <c r="B147" s="15" t="s">
        <v>1211</v>
      </c>
      <c r="C147" s="15" t="n">
        <v>2006</v>
      </c>
      <c r="D147" s="15" t="s">
        <v>145</v>
      </c>
      <c r="F147" s="15" t="s">
        <v>1303</v>
      </c>
      <c r="G147" s="15" t="s">
        <v>1304</v>
      </c>
      <c r="H147" s="15" t="s">
        <v>1313</v>
      </c>
      <c r="I147" s="16" t="n">
        <v>72</v>
      </c>
      <c r="J147" s="16" t="n">
        <v>0</v>
      </c>
      <c r="K147" s="57" t="s">
        <v>1314</v>
      </c>
      <c r="L147" s="16" t="n">
        <v>31304.347826087</v>
      </c>
      <c r="M147" s="16" t="n">
        <v>0</v>
      </c>
      <c r="N147" s="57" t="s">
        <v>1315</v>
      </c>
      <c r="P147" s="15" t="n">
        <v>-1</v>
      </c>
      <c r="Q147" s="15" t="s">
        <v>1089</v>
      </c>
      <c r="R147" s="15" t="n">
        <v>-1</v>
      </c>
      <c r="S147" s="15" t="s">
        <v>1089</v>
      </c>
      <c r="T147" s="15" t="s">
        <v>1090</v>
      </c>
      <c r="U147" s="15" t="s">
        <v>1214</v>
      </c>
      <c r="V147" s="15" t="n">
        <v>434.782608695652</v>
      </c>
      <c r="W147" s="15" t="n">
        <v>237.529691211401</v>
      </c>
      <c r="X147" s="15" t="s">
        <v>1306</v>
      </c>
      <c r="Y147" s="15" t="n">
        <v>-0.453681710213777</v>
      </c>
    </row>
    <row r="148" customFormat="false" ht="13.8" hidden="true" customHeight="false" outlineLevel="0" collapsed="false">
      <c r="A148" s="15" t="s">
        <v>196</v>
      </c>
      <c r="B148" s="15" t="s">
        <v>1211</v>
      </c>
      <c r="C148" s="15" t="n">
        <v>2006</v>
      </c>
      <c r="D148" s="15" t="s">
        <v>145</v>
      </c>
      <c r="F148" s="15" t="s">
        <v>1303</v>
      </c>
      <c r="G148" s="15" t="s">
        <v>1304</v>
      </c>
      <c r="H148" s="15" t="s">
        <v>1153</v>
      </c>
      <c r="I148" s="16" t="n">
        <v>23</v>
      </c>
      <c r="J148" s="16" t="n">
        <v>42.1</v>
      </c>
      <c r="K148" s="57" t="s">
        <v>1314</v>
      </c>
      <c r="L148" s="16" t="s">
        <v>628</v>
      </c>
      <c r="M148" s="16" t="s">
        <v>628</v>
      </c>
      <c r="N148" s="57" t="s">
        <v>1315</v>
      </c>
      <c r="P148" s="15" t="n">
        <v>0.830434782608696</v>
      </c>
      <c r="Q148" s="15" t="s">
        <v>1089</v>
      </c>
      <c r="R148" s="15" t="s">
        <v>628</v>
      </c>
      <c r="S148" s="15" t="s">
        <v>1089</v>
      </c>
      <c r="T148" s="15" t="s">
        <v>1090</v>
      </c>
      <c r="U148" s="15" t="s">
        <v>1214</v>
      </c>
      <c r="V148" s="15" t="n">
        <v>434.782608695652</v>
      </c>
      <c r="W148" s="15" t="n">
        <v>237.529691211401</v>
      </c>
      <c r="X148" s="15" t="s">
        <v>1306</v>
      </c>
      <c r="Y148" s="15" t="n">
        <v>-0.453681710213777</v>
      </c>
    </row>
    <row r="149" customFormat="false" ht="13.8" hidden="true" customHeight="false" outlineLevel="0" collapsed="false">
      <c r="A149" s="15" t="s">
        <v>196</v>
      </c>
      <c r="B149" s="15" t="s">
        <v>1211</v>
      </c>
      <c r="C149" s="15" t="n">
        <v>2006</v>
      </c>
      <c r="D149" s="15" t="s">
        <v>145</v>
      </c>
      <c r="F149" s="15" t="s">
        <v>1303</v>
      </c>
      <c r="G149" s="15" t="s">
        <v>1304</v>
      </c>
      <c r="H149" s="15" t="s">
        <v>1112</v>
      </c>
      <c r="I149" s="16" t="n">
        <v>0.036</v>
      </c>
      <c r="J149" s="16" t="n">
        <v>0.031</v>
      </c>
      <c r="K149" s="15" t="s">
        <v>1316</v>
      </c>
      <c r="L149" s="16" t="n">
        <v>15.6521739130435</v>
      </c>
      <c r="M149" s="16" t="n">
        <v>7.36342042755344</v>
      </c>
      <c r="N149" s="15" t="s">
        <v>1317</v>
      </c>
      <c r="O149" s="15" t="s">
        <v>1318</v>
      </c>
      <c r="P149" s="15" t="n">
        <v>-0.138888888888889</v>
      </c>
      <c r="Q149" s="15" t="s">
        <v>1089</v>
      </c>
      <c r="R149" s="15" t="n">
        <v>-0.529559250461863</v>
      </c>
      <c r="S149" s="15" t="s">
        <v>1089</v>
      </c>
      <c r="T149" s="15" t="s">
        <v>1090</v>
      </c>
      <c r="U149" s="15" t="s">
        <v>1214</v>
      </c>
      <c r="V149" s="15" t="n">
        <v>434.782608695652</v>
      </c>
      <c r="W149" s="15" t="n">
        <v>237.529691211401</v>
      </c>
      <c r="X149" s="15" t="s">
        <v>1306</v>
      </c>
      <c r="Y149" s="15" t="n">
        <v>-0.453681710213777</v>
      </c>
    </row>
    <row r="150" customFormat="false" ht="13.8" hidden="true" customHeight="false" outlineLevel="0" collapsed="false">
      <c r="A150" s="15" t="s">
        <v>196</v>
      </c>
      <c r="B150" s="15" t="s">
        <v>1319</v>
      </c>
      <c r="C150" s="15" t="n">
        <v>2006</v>
      </c>
      <c r="D150" s="15" t="s">
        <v>1320</v>
      </c>
      <c r="F150" s="15" t="s">
        <v>1152</v>
      </c>
      <c r="G150" s="15" t="s">
        <v>1321</v>
      </c>
      <c r="H150" s="15" t="s">
        <v>403</v>
      </c>
      <c r="I150" s="16" t="n">
        <v>13</v>
      </c>
      <c r="J150" s="16" t="n">
        <v>11.1</v>
      </c>
      <c r="K150" s="57" t="s">
        <v>1322</v>
      </c>
      <c r="L150" s="16" t="n">
        <v>5356</v>
      </c>
      <c r="M150" s="16" t="n">
        <v>2286.6</v>
      </c>
      <c r="N150" s="57" t="s">
        <v>1323</v>
      </c>
      <c r="P150" s="15" t="n">
        <v>-0.146153846153846</v>
      </c>
      <c r="Q150" s="15" t="s">
        <v>1324</v>
      </c>
      <c r="R150" s="15" t="n">
        <v>-0.573076923076923</v>
      </c>
      <c r="S150" s="15" t="s">
        <v>1324</v>
      </c>
      <c r="T150" s="15" t="s">
        <v>1090</v>
      </c>
      <c r="U150" s="15" t="s">
        <v>1325</v>
      </c>
      <c r="V150" s="15" t="n">
        <v>412</v>
      </c>
      <c r="W150" s="15" t="n">
        <v>206</v>
      </c>
      <c r="X150" s="15" t="s">
        <v>1326</v>
      </c>
      <c r="Y150" s="15" t="n">
        <v>-0.5</v>
      </c>
    </row>
    <row r="151" customFormat="false" ht="13.8" hidden="true" customHeight="false" outlineLevel="0" collapsed="false">
      <c r="A151" s="15" t="s">
        <v>196</v>
      </c>
      <c r="B151" s="15" t="s">
        <v>1319</v>
      </c>
      <c r="C151" s="15" t="n">
        <v>2006</v>
      </c>
      <c r="D151" s="15" t="s">
        <v>1320</v>
      </c>
      <c r="F151" s="15" t="s">
        <v>1152</v>
      </c>
      <c r="G151" s="15" t="s">
        <v>1321</v>
      </c>
      <c r="H151" s="15" t="s">
        <v>1153</v>
      </c>
      <c r="I151" s="16" t="n">
        <v>24</v>
      </c>
      <c r="J151" s="16" t="n">
        <v>49</v>
      </c>
      <c r="K151" s="57" t="s">
        <v>1327</v>
      </c>
      <c r="L151" s="16" t="s">
        <v>628</v>
      </c>
      <c r="M151" s="16" t="s">
        <v>628</v>
      </c>
      <c r="N151" s="57" t="s">
        <v>1315</v>
      </c>
      <c r="P151" s="15" t="n">
        <v>1.04166666666667</v>
      </c>
      <c r="Q151" s="15" t="s">
        <v>1324</v>
      </c>
      <c r="R151" s="15" t="s">
        <v>628</v>
      </c>
      <c r="S151" s="15" t="s">
        <v>1324</v>
      </c>
      <c r="T151" s="15" t="s">
        <v>1090</v>
      </c>
      <c r="U151" s="15" t="s">
        <v>1325</v>
      </c>
      <c r="V151" s="15" t="n">
        <v>412</v>
      </c>
      <c r="W151" s="15" t="n">
        <v>206</v>
      </c>
      <c r="X151" s="15" t="s">
        <v>1326</v>
      </c>
      <c r="Y151" s="15" t="n">
        <v>-0.5</v>
      </c>
    </row>
    <row r="152" customFormat="false" ht="25" hidden="true" customHeight="false" outlineLevel="0" collapsed="false">
      <c r="A152" s="15" t="s">
        <v>196</v>
      </c>
      <c r="B152" s="15" t="s">
        <v>1328</v>
      </c>
      <c r="C152" s="15" t="n">
        <v>2012</v>
      </c>
      <c r="D152" s="15" t="s">
        <v>132</v>
      </c>
      <c r="F152" s="15" t="s">
        <v>1303</v>
      </c>
      <c r="G152" s="15" t="s">
        <v>1321</v>
      </c>
      <c r="H152" s="15" t="s">
        <v>1157</v>
      </c>
      <c r="I152" s="16" t="n">
        <v>46.3</v>
      </c>
      <c r="J152" s="16" t="n">
        <v>45.6</v>
      </c>
      <c r="K152" s="15" t="s">
        <v>1329</v>
      </c>
      <c r="L152" s="16" t="n">
        <v>17223.6</v>
      </c>
      <c r="M152" s="16" t="n">
        <v>13360.8</v>
      </c>
      <c r="N152" s="15" t="s">
        <v>1216</v>
      </c>
      <c r="O152" s="15" t="s">
        <v>1318</v>
      </c>
      <c r="P152" s="15" t="n">
        <v>-0.0151187904967601</v>
      </c>
      <c r="Q152" s="15" t="s">
        <v>1089</v>
      </c>
      <c r="R152" s="15" t="n">
        <v>-0.224273671009545</v>
      </c>
      <c r="S152" s="15" t="s">
        <v>1089</v>
      </c>
      <c r="T152" s="15" t="s">
        <v>1090</v>
      </c>
      <c r="U152" s="56" t="s">
        <v>1330</v>
      </c>
      <c r="V152" s="15" t="n">
        <v>372</v>
      </c>
      <c r="W152" s="15" t="n">
        <v>293</v>
      </c>
      <c r="X152" s="15" t="s">
        <v>1331</v>
      </c>
      <c r="Y152" s="15" t="n">
        <v>-0.21236559139785</v>
      </c>
    </row>
    <row r="153" customFormat="false" ht="25" hidden="false" customHeight="false" outlineLevel="0" collapsed="false">
      <c r="A153" s="15" t="s">
        <v>196</v>
      </c>
      <c r="B153" s="15" t="s">
        <v>1328</v>
      </c>
      <c r="C153" s="15" t="n">
        <v>2012</v>
      </c>
      <c r="D153" s="15" t="s">
        <v>132</v>
      </c>
      <c r="F153" s="15" t="s">
        <v>1303</v>
      </c>
      <c r="G153" s="15" t="s">
        <v>1321</v>
      </c>
      <c r="H153" s="15" t="s">
        <v>403</v>
      </c>
      <c r="I153" s="16" t="n">
        <v>15.3</v>
      </c>
      <c r="J153" s="16" t="n">
        <v>14.8</v>
      </c>
      <c r="K153" s="15" t="s">
        <v>1332</v>
      </c>
      <c r="L153" s="16" t="n">
        <v>5691.6</v>
      </c>
      <c r="M153" s="16" t="n">
        <v>4336.4</v>
      </c>
      <c r="N153" s="15" t="s">
        <v>1333</v>
      </c>
      <c r="P153" s="15" t="n">
        <v>-0.0326797385620915</v>
      </c>
      <c r="Q153" s="15" t="s">
        <v>1089</v>
      </c>
      <c r="R153" s="15" t="n">
        <v>-0.238105277953475</v>
      </c>
      <c r="S153" s="15" t="s">
        <v>1089</v>
      </c>
      <c r="T153" s="15" t="s">
        <v>1090</v>
      </c>
      <c r="U153" s="56" t="s">
        <v>1330</v>
      </c>
      <c r="V153" s="15" t="n">
        <v>372</v>
      </c>
      <c r="W153" s="15" t="n">
        <v>293</v>
      </c>
      <c r="X153" s="15" t="s">
        <v>1331</v>
      </c>
      <c r="Y153" s="15" t="n">
        <v>-0.21236559139785</v>
      </c>
    </row>
    <row r="154" customFormat="false" ht="25" hidden="true" customHeight="false" outlineLevel="0" collapsed="false">
      <c r="A154" s="15" t="s">
        <v>196</v>
      </c>
      <c r="B154" s="15" t="s">
        <v>1328</v>
      </c>
      <c r="C154" s="15" t="n">
        <v>2012</v>
      </c>
      <c r="D154" s="15" t="s">
        <v>132</v>
      </c>
      <c r="F154" s="15" t="s">
        <v>1303</v>
      </c>
      <c r="G154" s="15" t="s">
        <v>1321</v>
      </c>
      <c r="H154" s="15" t="s">
        <v>1334</v>
      </c>
      <c r="I154" s="16" t="n">
        <v>164.1</v>
      </c>
      <c r="J154" s="16" t="n">
        <v>162.5</v>
      </c>
      <c r="K154" s="15" t="s">
        <v>1335</v>
      </c>
      <c r="L154" s="16" t="n">
        <v>61045.2</v>
      </c>
      <c r="M154" s="16" t="n">
        <v>47612.5</v>
      </c>
      <c r="N154" s="15" t="s">
        <v>1336</v>
      </c>
      <c r="P154" s="15" t="n">
        <v>-0.00975015234613041</v>
      </c>
      <c r="Q154" s="15" t="s">
        <v>1089</v>
      </c>
      <c r="R154" s="15" t="n">
        <v>-0.220045146874775</v>
      </c>
      <c r="S154" s="15" t="s">
        <v>1089</v>
      </c>
      <c r="T154" s="15" t="s">
        <v>1090</v>
      </c>
      <c r="U154" s="56" t="s">
        <v>1330</v>
      </c>
      <c r="V154" s="15" t="n">
        <v>372</v>
      </c>
      <c r="W154" s="15" t="n">
        <v>293</v>
      </c>
      <c r="X154" s="15" t="s">
        <v>1331</v>
      </c>
      <c r="Y154" s="15" t="n">
        <v>-0.21236559139785</v>
      </c>
    </row>
    <row r="155" customFormat="false" ht="25" hidden="true" customHeight="false" outlineLevel="0" collapsed="false">
      <c r="A155" s="15" t="s">
        <v>196</v>
      </c>
      <c r="B155" s="15" t="s">
        <v>1328</v>
      </c>
      <c r="C155" s="15" t="n">
        <v>2012</v>
      </c>
      <c r="D155" s="15" t="s">
        <v>132</v>
      </c>
      <c r="F155" s="15" t="s">
        <v>1303</v>
      </c>
      <c r="G155" s="15" t="s">
        <v>1321</v>
      </c>
      <c r="H155" s="15" t="s">
        <v>1337</v>
      </c>
      <c r="I155" s="16" t="n">
        <v>0.013</v>
      </c>
      <c r="J155" s="16" t="n">
        <v>0.013</v>
      </c>
      <c r="K155" s="15" t="s">
        <v>1338</v>
      </c>
      <c r="L155" s="16" t="n">
        <v>4.836</v>
      </c>
      <c r="M155" s="16" t="n">
        <v>3.809</v>
      </c>
      <c r="N155" s="15" t="s">
        <v>1339</v>
      </c>
      <c r="P155" s="15" t="n">
        <v>0</v>
      </c>
      <c r="Q155" s="15" t="s">
        <v>1089</v>
      </c>
      <c r="R155" s="15" t="n">
        <v>-0.212365591397849</v>
      </c>
      <c r="S155" s="15" t="s">
        <v>1089</v>
      </c>
      <c r="T155" s="15" t="s">
        <v>1090</v>
      </c>
      <c r="U155" s="56" t="s">
        <v>1330</v>
      </c>
      <c r="V155" s="15" t="n">
        <v>372</v>
      </c>
      <c r="W155" s="15" t="n">
        <v>293</v>
      </c>
      <c r="X155" s="15" t="s">
        <v>1331</v>
      </c>
      <c r="Y155" s="15" t="n">
        <v>-0.21236559139785</v>
      </c>
    </row>
    <row r="156" customFormat="false" ht="25" hidden="true" customHeight="false" outlineLevel="0" collapsed="false">
      <c r="A156" s="15" t="s">
        <v>196</v>
      </c>
      <c r="B156" s="15" t="s">
        <v>1328</v>
      </c>
      <c r="C156" s="15" t="n">
        <v>2012</v>
      </c>
      <c r="D156" s="15" t="s">
        <v>132</v>
      </c>
      <c r="F156" s="15" t="s">
        <v>1303</v>
      </c>
      <c r="G156" s="15" t="s">
        <v>1321</v>
      </c>
      <c r="H156" s="15" t="s">
        <v>1181</v>
      </c>
      <c r="I156" s="16" t="n">
        <v>0.0164</v>
      </c>
      <c r="J156" s="16" t="n">
        <v>0.0006</v>
      </c>
      <c r="K156" s="15" t="s">
        <v>1340</v>
      </c>
      <c r="L156" s="16" t="n">
        <v>6.1008</v>
      </c>
      <c r="M156" s="16" t="n">
        <v>0.1758</v>
      </c>
      <c r="N156" s="15" t="s">
        <v>1341</v>
      </c>
      <c r="P156" s="15" t="n">
        <v>-0.963414634146341</v>
      </c>
      <c r="Q156" s="15" t="s">
        <v>1089</v>
      </c>
      <c r="R156" s="15" t="n">
        <v>-0.97118410700236</v>
      </c>
      <c r="S156" s="15" t="s">
        <v>1089</v>
      </c>
      <c r="T156" s="15" t="s">
        <v>1090</v>
      </c>
      <c r="U156" s="56" t="s">
        <v>1330</v>
      </c>
      <c r="V156" s="15" t="n">
        <v>372</v>
      </c>
      <c r="W156" s="15" t="n">
        <v>293</v>
      </c>
      <c r="X156" s="15" t="s">
        <v>1331</v>
      </c>
      <c r="Y156" s="15" t="n">
        <v>-0.21236559139785</v>
      </c>
    </row>
    <row r="157" customFormat="false" ht="25" hidden="true" customHeight="false" outlineLevel="0" collapsed="false">
      <c r="A157" s="15" t="s">
        <v>196</v>
      </c>
      <c r="B157" s="15" t="s">
        <v>1328</v>
      </c>
      <c r="C157" s="15" t="n">
        <v>2012</v>
      </c>
      <c r="D157" s="15" t="s">
        <v>132</v>
      </c>
      <c r="F157" s="15" t="s">
        <v>1303</v>
      </c>
      <c r="G157" s="15" t="s">
        <v>1321</v>
      </c>
      <c r="H157" s="15" t="s">
        <v>1184</v>
      </c>
      <c r="I157" s="16" t="n">
        <v>0.0078</v>
      </c>
      <c r="J157" s="16" t="n">
        <v>0.001</v>
      </c>
      <c r="K157" s="15" t="s">
        <v>1340</v>
      </c>
      <c r="L157" s="16" t="n">
        <v>2.9016</v>
      </c>
      <c r="M157" s="16" t="n">
        <v>0.293</v>
      </c>
      <c r="N157" s="15" t="s">
        <v>1341</v>
      </c>
      <c r="P157" s="15" t="n">
        <v>-0.871794871794872</v>
      </c>
      <c r="Q157" s="15" t="s">
        <v>1089</v>
      </c>
      <c r="R157" s="15" t="n">
        <v>-0.899021229666391</v>
      </c>
      <c r="S157" s="15" t="s">
        <v>1089</v>
      </c>
      <c r="T157" s="15" t="s">
        <v>1090</v>
      </c>
      <c r="U157" s="56" t="s">
        <v>1330</v>
      </c>
      <c r="V157" s="15" t="n">
        <v>372</v>
      </c>
      <c r="W157" s="15" t="n">
        <v>293</v>
      </c>
      <c r="X157" s="15" t="s">
        <v>1331</v>
      </c>
      <c r="Y157" s="15" t="n">
        <v>-0.21236559139785</v>
      </c>
    </row>
    <row r="158" customFormat="false" ht="25" hidden="true" customHeight="false" outlineLevel="0" collapsed="false">
      <c r="A158" s="15" t="s">
        <v>196</v>
      </c>
      <c r="B158" s="15" t="s">
        <v>1328</v>
      </c>
      <c r="C158" s="15" t="n">
        <v>2012</v>
      </c>
      <c r="D158" s="15" t="s">
        <v>132</v>
      </c>
      <c r="F158" s="15" t="s">
        <v>1303</v>
      </c>
      <c r="G158" s="15" t="s">
        <v>1321</v>
      </c>
      <c r="H158" s="15" t="s">
        <v>1153</v>
      </c>
      <c r="I158" s="16" t="n">
        <v>26.9</v>
      </c>
      <c r="J158" s="16" t="n">
        <v>34.1</v>
      </c>
      <c r="K158" s="15" t="s">
        <v>1342</v>
      </c>
      <c r="L158" s="16" t="n">
        <v>10006.8</v>
      </c>
      <c r="M158" s="16" t="n">
        <v>9991.3</v>
      </c>
      <c r="N158" s="15" t="s">
        <v>1343</v>
      </c>
      <c r="P158" s="15" t="n">
        <v>0.267657992565056</v>
      </c>
      <c r="Q158" s="15" t="s">
        <v>1089</v>
      </c>
      <c r="R158" s="15" t="n">
        <v>-0.00154894671623274</v>
      </c>
      <c r="S158" s="15" t="s">
        <v>1089</v>
      </c>
      <c r="T158" s="15" t="s">
        <v>1090</v>
      </c>
      <c r="U158" s="56" t="s">
        <v>1330</v>
      </c>
      <c r="V158" s="15" t="n">
        <v>372</v>
      </c>
      <c r="W158" s="15" t="n">
        <v>293</v>
      </c>
      <c r="X158" s="15" t="s">
        <v>1331</v>
      </c>
      <c r="Y158" s="15" t="n">
        <v>-0.21236559139785</v>
      </c>
    </row>
    <row r="159" customFormat="false" ht="25" hidden="true" customHeight="false" outlineLevel="0" collapsed="false">
      <c r="A159" s="15" t="s">
        <v>196</v>
      </c>
      <c r="B159" s="15" t="s">
        <v>1328</v>
      </c>
      <c r="C159" s="15" t="n">
        <v>2012</v>
      </c>
      <c r="D159" s="15" t="s">
        <v>132</v>
      </c>
      <c r="F159" s="15" t="s">
        <v>1303</v>
      </c>
      <c r="G159" s="15" t="s">
        <v>1321</v>
      </c>
      <c r="H159" s="15" t="s">
        <v>1344</v>
      </c>
      <c r="I159" s="16" t="n">
        <v>2.2</v>
      </c>
      <c r="J159" s="16" t="n">
        <v>1.9</v>
      </c>
      <c r="K159" s="15" t="s">
        <v>1342</v>
      </c>
      <c r="L159" s="16" t="n">
        <v>818.4</v>
      </c>
      <c r="M159" s="16" t="n">
        <v>556.7</v>
      </c>
      <c r="N159" s="15" t="s">
        <v>1345</v>
      </c>
      <c r="P159" s="15" t="n">
        <v>-0.136363636363636</v>
      </c>
      <c r="Q159" s="15" t="s">
        <v>1089</v>
      </c>
      <c r="R159" s="15" t="n">
        <v>-0.319770283479961</v>
      </c>
      <c r="S159" s="15" t="s">
        <v>1089</v>
      </c>
      <c r="T159" s="15" t="s">
        <v>1090</v>
      </c>
      <c r="U159" s="56" t="s">
        <v>1330</v>
      </c>
      <c r="V159" s="15" t="n">
        <v>372</v>
      </c>
      <c r="W159" s="15" t="n">
        <v>293</v>
      </c>
      <c r="X159" s="15" t="s">
        <v>1331</v>
      </c>
      <c r="Y159" s="15" t="n">
        <v>-0.21236559139785</v>
      </c>
    </row>
    <row r="160" customFormat="false" ht="25" hidden="true" customHeight="false" outlineLevel="0" collapsed="false">
      <c r="A160" s="15" t="s">
        <v>196</v>
      </c>
      <c r="B160" s="15" t="s">
        <v>1328</v>
      </c>
      <c r="C160" s="15" t="n">
        <v>2012</v>
      </c>
      <c r="D160" s="15" t="s">
        <v>132</v>
      </c>
      <c r="F160" s="15" t="s">
        <v>1303</v>
      </c>
      <c r="G160" s="15" t="s">
        <v>1321</v>
      </c>
      <c r="H160" s="15" t="s">
        <v>1346</v>
      </c>
      <c r="I160" s="16" t="n">
        <v>0.0005</v>
      </c>
      <c r="J160" s="16" t="n">
        <v>0.0005</v>
      </c>
      <c r="K160" s="15" t="s">
        <v>1347</v>
      </c>
      <c r="L160" s="16" t="n">
        <v>0.186</v>
      </c>
      <c r="M160" s="16" t="n">
        <v>0.1465</v>
      </c>
      <c r="N160" s="15" t="s">
        <v>1348</v>
      </c>
      <c r="P160" s="15" t="n">
        <v>0</v>
      </c>
      <c r="Q160" s="15" t="s">
        <v>1089</v>
      </c>
      <c r="R160" s="15" t="n">
        <v>-0.21236559139785</v>
      </c>
      <c r="S160" s="15" t="s">
        <v>1089</v>
      </c>
      <c r="T160" s="15" t="s">
        <v>1090</v>
      </c>
      <c r="U160" s="56" t="s">
        <v>1330</v>
      </c>
      <c r="V160" s="15" t="n">
        <v>372</v>
      </c>
      <c r="W160" s="15" t="n">
        <v>293</v>
      </c>
      <c r="X160" s="15" t="s">
        <v>1331</v>
      </c>
      <c r="Y160" s="15" t="n">
        <v>-0.21236559139785</v>
      </c>
    </row>
    <row r="161" customFormat="false" ht="25" hidden="true" customHeight="false" outlineLevel="0" collapsed="false">
      <c r="A161" s="15" t="s">
        <v>196</v>
      </c>
      <c r="B161" s="15" t="s">
        <v>1328</v>
      </c>
      <c r="C161" s="15" t="n">
        <v>2012</v>
      </c>
      <c r="D161" s="15" t="s">
        <v>132</v>
      </c>
      <c r="F161" s="15" t="s">
        <v>1303</v>
      </c>
      <c r="G161" s="15" t="s">
        <v>1321</v>
      </c>
      <c r="H161" s="15" t="s">
        <v>1349</v>
      </c>
      <c r="I161" s="16" t="n">
        <v>0.122</v>
      </c>
      <c r="J161" s="16" t="n">
        <v>0.104</v>
      </c>
      <c r="K161" s="15" t="s">
        <v>1350</v>
      </c>
      <c r="L161" s="16" t="n">
        <v>45.384</v>
      </c>
      <c r="M161" s="16" t="n">
        <v>30.472</v>
      </c>
      <c r="N161" s="15" t="s">
        <v>1351</v>
      </c>
      <c r="P161" s="15" t="n">
        <v>-0.147540983606557</v>
      </c>
      <c r="Q161" s="15" t="s">
        <v>1089</v>
      </c>
      <c r="R161" s="15" t="n">
        <v>-0.32857394676538</v>
      </c>
      <c r="S161" s="15" t="s">
        <v>1089</v>
      </c>
      <c r="T161" s="15" t="s">
        <v>1090</v>
      </c>
      <c r="U161" s="56" t="s">
        <v>1330</v>
      </c>
      <c r="V161" s="15" t="n">
        <v>372</v>
      </c>
      <c r="W161" s="15" t="n">
        <v>293</v>
      </c>
      <c r="X161" s="15" t="s">
        <v>1331</v>
      </c>
      <c r="Y161" s="15" t="n">
        <v>-0.21236559139785</v>
      </c>
    </row>
    <row r="162" customFormat="false" ht="25" hidden="true" customHeight="false" outlineLevel="0" collapsed="false">
      <c r="A162" s="15" t="s">
        <v>196</v>
      </c>
      <c r="B162" s="15" t="s">
        <v>1328</v>
      </c>
      <c r="C162" s="15" t="n">
        <v>2012</v>
      </c>
      <c r="D162" s="15" t="s">
        <v>132</v>
      </c>
      <c r="F162" s="15" t="s">
        <v>1303</v>
      </c>
      <c r="G162" s="15" t="s">
        <v>1321</v>
      </c>
      <c r="H162" s="15" t="s">
        <v>1352</v>
      </c>
      <c r="I162" s="16" t="n">
        <v>12.6</v>
      </c>
      <c r="J162" s="16" t="n">
        <v>17.9</v>
      </c>
      <c r="K162" s="15" t="s">
        <v>1347</v>
      </c>
      <c r="L162" s="16" t="n">
        <v>4687.2</v>
      </c>
      <c r="M162" s="16" t="n">
        <v>5244.7</v>
      </c>
      <c r="N162" s="15" t="s">
        <v>1348</v>
      </c>
      <c r="P162" s="15" t="n">
        <v>0.420634920634921</v>
      </c>
      <c r="Q162" s="15" t="s">
        <v>1089</v>
      </c>
      <c r="R162" s="15" t="n">
        <v>0.118940945553849</v>
      </c>
      <c r="S162" s="15" t="s">
        <v>1089</v>
      </c>
      <c r="T162" s="15" t="s">
        <v>1090</v>
      </c>
      <c r="U162" s="56" t="s">
        <v>1330</v>
      </c>
      <c r="V162" s="15" t="n">
        <v>372</v>
      </c>
      <c r="W162" s="15" t="n">
        <v>293</v>
      </c>
      <c r="X162" s="15" t="s">
        <v>1331</v>
      </c>
      <c r="Y162" s="15" t="n">
        <v>-0.21236559139785</v>
      </c>
    </row>
    <row r="163" customFormat="false" ht="25" hidden="true" customHeight="false" outlineLevel="0" collapsed="false">
      <c r="A163" s="15" t="s">
        <v>196</v>
      </c>
      <c r="B163" s="15" t="s">
        <v>1328</v>
      </c>
      <c r="C163" s="15" t="n">
        <v>2012</v>
      </c>
      <c r="D163" s="15" t="s">
        <v>132</v>
      </c>
      <c r="F163" s="15" t="s">
        <v>1303</v>
      </c>
      <c r="G163" s="15" t="s">
        <v>1321</v>
      </c>
      <c r="H163" s="15" t="s">
        <v>1353</v>
      </c>
      <c r="I163" s="16" t="n">
        <v>0.06</v>
      </c>
      <c r="J163" s="16" t="n">
        <v>0.07</v>
      </c>
      <c r="K163" s="15" t="s">
        <v>1354</v>
      </c>
      <c r="L163" s="16" t="n">
        <v>22.32</v>
      </c>
      <c r="M163" s="16" t="n">
        <v>20.51</v>
      </c>
      <c r="N163" s="15" t="s">
        <v>1355</v>
      </c>
      <c r="P163" s="15" t="n">
        <v>0.166666666666667</v>
      </c>
      <c r="Q163" s="15" t="s">
        <v>1089</v>
      </c>
      <c r="R163" s="15" t="n">
        <v>-0.0810931899641576</v>
      </c>
      <c r="S163" s="15" t="s">
        <v>1089</v>
      </c>
      <c r="T163" s="15" t="s">
        <v>1090</v>
      </c>
      <c r="U163" s="56" t="s">
        <v>1330</v>
      </c>
      <c r="V163" s="15" t="n">
        <v>372</v>
      </c>
      <c r="W163" s="15" t="n">
        <v>293</v>
      </c>
      <c r="X163" s="15" t="s">
        <v>1331</v>
      </c>
      <c r="Y163" s="15" t="n">
        <v>-0.21236559139785</v>
      </c>
    </row>
    <row r="164" customFormat="false" ht="25" hidden="true" customHeight="false" outlineLevel="0" collapsed="false">
      <c r="A164" s="15" t="s">
        <v>196</v>
      </c>
      <c r="B164" s="15" t="s">
        <v>1328</v>
      </c>
      <c r="C164" s="15" t="n">
        <v>2012</v>
      </c>
      <c r="D164" s="15" t="s">
        <v>132</v>
      </c>
      <c r="F164" s="15" t="s">
        <v>1303</v>
      </c>
      <c r="G164" s="15" t="s">
        <v>1321</v>
      </c>
      <c r="H164" s="15" t="s">
        <v>1356</v>
      </c>
      <c r="I164" s="16" t="n">
        <v>0.0018</v>
      </c>
      <c r="J164" s="16" t="n">
        <v>0.0017</v>
      </c>
      <c r="K164" s="15" t="s">
        <v>1357</v>
      </c>
      <c r="L164" s="16" t="n">
        <v>0.6696</v>
      </c>
      <c r="M164" s="16" t="n">
        <v>0.4981</v>
      </c>
      <c r="N164" s="15" t="s">
        <v>1358</v>
      </c>
      <c r="P164" s="15" t="n">
        <v>-0.0555555555555556</v>
      </c>
      <c r="Q164" s="15" t="s">
        <v>1089</v>
      </c>
      <c r="R164" s="15" t="n">
        <v>-0.256123058542413</v>
      </c>
      <c r="S164" s="15" t="s">
        <v>1089</v>
      </c>
      <c r="T164" s="15" t="s">
        <v>1090</v>
      </c>
      <c r="U164" s="56" t="s">
        <v>1330</v>
      </c>
      <c r="V164" s="15" t="n">
        <v>372</v>
      </c>
      <c r="W164" s="15" t="n">
        <v>293</v>
      </c>
      <c r="X164" s="15" t="s">
        <v>1331</v>
      </c>
      <c r="Y164" s="15" t="n">
        <v>-0.21236559139785</v>
      </c>
    </row>
    <row r="165" customFormat="false" ht="25" hidden="true" customHeight="false" outlineLevel="0" collapsed="false">
      <c r="A165" s="15" t="s">
        <v>196</v>
      </c>
      <c r="B165" s="15" t="s">
        <v>1328</v>
      </c>
      <c r="C165" s="15" t="n">
        <v>2012</v>
      </c>
      <c r="D165" s="15" t="s">
        <v>132</v>
      </c>
      <c r="F165" s="15" t="s">
        <v>1303</v>
      </c>
      <c r="G165" s="15" t="s">
        <v>1321</v>
      </c>
      <c r="H165" s="15" t="s">
        <v>1311</v>
      </c>
      <c r="I165" s="16" t="n">
        <v>3</v>
      </c>
      <c r="J165" s="16" t="n">
        <v>4.2</v>
      </c>
      <c r="K165" s="15" t="s">
        <v>1359</v>
      </c>
      <c r="L165" s="16" t="n">
        <v>1116</v>
      </c>
      <c r="M165" s="16" t="n">
        <v>1230.6</v>
      </c>
      <c r="N165" s="15" t="s">
        <v>1359</v>
      </c>
      <c r="P165" s="15" t="n">
        <v>0.4</v>
      </c>
      <c r="Q165" s="15" t="s">
        <v>1089</v>
      </c>
      <c r="R165" s="15" t="n">
        <v>0.102688172043011</v>
      </c>
      <c r="S165" s="15" t="s">
        <v>1089</v>
      </c>
      <c r="T165" s="15" t="s">
        <v>1090</v>
      </c>
      <c r="U165" s="56" t="s">
        <v>1330</v>
      </c>
      <c r="V165" s="15" t="n">
        <v>372</v>
      </c>
      <c r="W165" s="15" t="n">
        <v>293</v>
      </c>
      <c r="X165" s="15" t="s">
        <v>1331</v>
      </c>
      <c r="Y165" s="15" t="n">
        <v>-0.21236559139785</v>
      </c>
    </row>
    <row r="166" customFormat="false" ht="25" hidden="true" customHeight="false" outlineLevel="0" collapsed="false">
      <c r="A166" s="15" t="s">
        <v>196</v>
      </c>
      <c r="B166" s="15" t="s">
        <v>1328</v>
      </c>
      <c r="C166" s="15" t="n">
        <v>2012</v>
      </c>
      <c r="D166" s="15" t="s">
        <v>132</v>
      </c>
      <c r="F166" s="15" t="s">
        <v>1303</v>
      </c>
      <c r="G166" s="15" t="s">
        <v>1321</v>
      </c>
      <c r="H166" s="15" t="s">
        <v>1360</v>
      </c>
      <c r="I166" s="16" t="n">
        <v>0.0039</v>
      </c>
      <c r="J166" s="16" t="n">
        <v>0.003</v>
      </c>
      <c r="K166" s="15" t="s">
        <v>1361</v>
      </c>
      <c r="L166" s="16" t="n">
        <v>1.4508</v>
      </c>
      <c r="M166" s="16" t="n">
        <v>0.879</v>
      </c>
      <c r="N166" s="15" t="s">
        <v>1362</v>
      </c>
      <c r="P166" s="15" t="n">
        <v>-0.230769230769231</v>
      </c>
      <c r="Q166" s="15" t="s">
        <v>1089</v>
      </c>
      <c r="R166" s="15" t="n">
        <v>-0.394127377998346</v>
      </c>
      <c r="S166" s="15" t="s">
        <v>1089</v>
      </c>
      <c r="T166" s="15" t="s">
        <v>1090</v>
      </c>
      <c r="U166" s="56" t="s">
        <v>1330</v>
      </c>
      <c r="V166" s="15" t="n">
        <v>372</v>
      </c>
      <c r="W166" s="15" t="n">
        <v>293</v>
      </c>
      <c r="X166" s="15" t="s">
        <v>1331</v>
      </c>
      <c r="Y166" s="15" t="n">
        <v>-0.21236559139785</v>
      </c>
    </row>
    <row r="167" customFormat="false" ht="25" hidden="true" customHeight="false" outlineLevel="0" collapsed="false">
      <c r="A167" s="15" t="s">
        <v>196</v>
      </c>
      <c r="B167" s="15" t="s">
        <v>1328</v>
      </c>
      <c r="C167" s="15" t="n">
        <v>2012</v>
      </c>
      <c r="D167" s="15" t="s">
        <v>132</v>
      </c>
      <c r="F167" s="15" t="s">
        <v>1303</v>
      </c>
      <c r="G167" s="15" t="s">
        <v>1321</v>
      </c>
      <c r="H167" s="15" t="s">
        <v>1363</v>
      </c>
      <c r="I167" s="16" t="n">
        <v>0.0027</v>
      </c>
      <c r="J167" s="16" t="s">
        <v>1364</v>
      </c>
      <c r="K167" s="15" t="s">
        <v>1361</v>
      </c>
      <c r="L167" s="16" t="n">
        <v>1.0044</v>
      </c>
      <c r="M167" s="16" t="n">
        <v>0.0293</v>
      </c>
      <c r="N167" s="15" t="s">
        <v>1362</v>
      </c>
      <c r="P167" s="15" t="n">
        <v>-0.962962962962963</v>
      </c>
      <c r="Q167" s="15" t="s">
        <v>1089</v>
      </c>
      <c r="R167" s="15" t="n">
        <v>-0.970828355236957</v>
      </c>
      <c r="S167" s="15" t="s">
        <v>1089</v>
      </c>
      <c r="T167" s="15" t="s">
        <v>1090</v>
      </c>
      <c r="U167" s="56" t="s">
        <v>1330</v>
      </c>
      <c r="V167" s="15" t="n">
        <v>372</v>
      </c>
      <c r="W167" s="15" t="n">
        <v>293</v>
      </c>
      <c r="X167" s="15" t="s">
        <v>1331</v>
      </c>
      <c r="Y167" s="15" t="n">
        <v>-0.21236559139785</v>
      </c>
    </row>
    <row r="168" customFormat="false" ht="25" hidden="true" customHeight="false" outlineLevel="0" collapsed="false">
      <c r="A168" s="15" t="s">
        <v>196</v>
      </c>
      <c r="B168" s="15" t="s">
        <v>1328</v>
      </c>
      <c r="C168" s="15" t="n">
        <v>2012</v>
      </c>
      <c r="D168" s="15" t="s">
        <v>132</v>
      </c>
      <c r="F168" s="15" t="s">
        <v>1303</v>
      </c>
      <c r="G168" s="15" t="s">
        <v>1321</v>
      </c>
      <c r="H168" s="15" t="s">
        <v>1365</v>
      </c>
      <c r="I168" s="16" t="n">
        <v>0.046</v>
      </c>
      <c r="J168" s="16" t="n">
        <v>0.045</v>
      </c>
      <c r="K168" s="15" t="s">
        <v>1361</v>
      </c>
      <c r="L168" s="16" t="n">
        <v>17.112</v>
      </c>
      <c r="M168" s="16" t="n">
        <v>13.185</v>
      </c>
      <c r="N168" s="15" t="s">
        <v>1362</v>
      </c>
      <c r="P168" s="15" t="n">
        <v>-0.0217391304347826</v>
      </c>
      <c r="Q168" s="15" t="s">
        <v>1089</v>
      </c>
      <c r="R168" s="15" t="n">
        <v>-0.229488078541374</v>
      </c>
      <c r="S168" s="15" t="s">
        <v>1089</v>
      </c>
      <c r="T168" s="15" t="s">
        <v>1090</v>
      </c>
      <c r="U168" s="56" t="s">
        <v>1330</v>
      </c>
      <c r="V168" s="15" t="n">
        <v>372</v>
      </c>
      <c r="W168" s="15" t="n">
        <v>293</v>
      </c>
      <c r="X168" s="15" t="s">
        <v>1331</v>
      </c>
      <c r="Y168" s="15" t="n">
        <v>-0.21236559139785</v>
      </c>
    </row>
    <row r="169" customFormat="false" ht="25" hidden="true" customHeight="false" outlineLevel="0" collapsed="false">
      <c r="A169" s="15" t="s">
        <v>196</v>
      </c>
      <c r="B169" s="15" t="s">
        <v>1328</v>
      </c>
      <c r="C169" s="15" t="n">
        <v>2012</v>
      </c>
      <c r="D169" s="15" t="s">
        <v>132</v>
      </c>
      <c r="F169" s="15" t="s">
        <v>1303</v>
      </c>
      <c r="G169" s="15" t="s">
        <v>1321</v>
      </c>
      <c r="H169" s="15" t="s">
        <v>1366</v>
      </c>
      <c r="I169" s="16" t="n">
        <v>0.095</v>
      </c>
      <c r="J169" s="16" t="s">
        <v>1367</v>
      </c>
      <c r="K169" s="15" t="s">
        <v>1361</v>
      </c>
      <c r="L169" s="16" t="n">
        <v>35.34</v>
      </c>
      <c r="M169" s="16" t="n">
        <v>0.293</v>
      </c>
      <c r="N169" s="15" t="s">
        <v>1362</v>
      </c>
      <c r="P169" s="15" t="n">
        <v>-0.989473684210526</v>
      </c>
      <c r="Q169" s="15" t="s">
        <v>1089</v>
      </c>
      <c r="R169" s="15" t="n">
        <v>-0.991709111488399</v>
      </c>
      <c r="S169" s="15" t="s">
        <v>1089</v>
      </c>
      <c r="T169" s="15" t="s">
        <v>1090</v>
      </c>
      <c r="U169" s="56" t="s">
        <v>1330</v>
      </c>
      <c r="V169" s="15" t="n">
        <v>372</v>
      </c>
      <c r="W169" s="15" t="n">
        <v>293</v>
      </c>
      <c r="X169" s="15" t="s">
        <v>1331</v>
      </c>
      <c r="Y169" s="15" t="n">
        <v>-0.21236559139785</v>
      </c>
    </row>
    <row r="170" customFormat="false" ht="25" hidden="true" customHeight="false" outlineLevel="0" collapsed="false">
      <c r="A170" s="15" t="s">
        <v>196</v>
      </c>
      <c r="B170" s="15" t="s">
        <v>1328</v>
      </c>
      <c r="C170" s="15" t="n">
        <v>2012</v>
      </c>
      <c r="D170" s="15" t="s">
        <v>132</v>
      </c>
      <c r="F170" s="15" t="s">
        <v>1303</v>
      </c>
      <c r="G170" s="15" t="s">
        <v>1321</v>
      </c>
      <c r="H170" s="15" t="s">
        <v>1368</v>
      </c>
      <c r="I170" s="16" t="n">
        <v>2.45</v>
      </c>
      <c r="J170" s="16" t="n">
        <v>2.46</v>
      </c>
      <c r="K170" s="15" t="s">
        <v>1361</v>
      </c>
      <c r="L170" s="16" t="n">
        <v>911.4</v>
      </c>
      <c r="M170" s="16" t="n">
        <v>720.78</v>
      </c>
      <c r="N170" s="15" t="s">
        <v>1369</v>
      </c>
      <c r="P170" s="15" t="n">
        <v>0.00408163265306105</v>
      </c>
      <c r="Q170" s="15" t="s">
        <v>1089</v>
      </c>
      <c r="R170" s="15" t="n">
        <v>-0.209150757077024</v>
      </c>
      <c r="S170" s="15" t="s">
        <v>1089</v>
      </c>
      <c r="T170" s="15" t="s">
        <v>1090</v>
      </c>
      <c r="U170" s="56" t="s">
        <v>1330</v>
      </c>
      <c r="V170" s="15" t="n">
        <v>372</v>
      </c>
      <c r="W170" s="15" t="n">
        <v>293</v>
      </c>
      <c r="X170" s="15" t="s">
        <v>1331</v>
      </c>
      <c r="Y170" s="15" t="n">
        <v>-0.21236559139785</v>
      </c>
    </row>
    <row r="171" customFormat="false" ht="25" hidden="true" customHeight="false" outlineLevel="0" collapsed="false">
      <c r="A171" s="15" t="s">
        <v>196</v>
      </c>
      <c r="B171" s="15" t="s">
        <v>1328</v>
      </c>
      <c r="C171" s="15" t="n">
        <v>2012</v>
      </c>
      <c r="D171" s="15" t="s">
        <v>132</v>
      </c>
      <c r="F171" s="15" t="s">
        <v>1303</v>
      </c>
      <c r="G171" s="15" t="s">
        <v>1321</v>
      </c>
      <c r="H171" s="15" t="s">
        <v>1370</v>
      </c>
      <c r="I171" s="16" t="n">
        <v>0.03</v>
      </c>
      <c r="J171" s="16" t="s">
        <v>1371</v>
      </c>
      <c r="K171" s="15" t="s">
        <v>1361</v>
      </c>
      <c r="L171" s="16" t="n">
        <v>11.16</v>
      </c>
      <c r="M171" s="16" t="n">
        <v>2.93</v>
      </c>
      <c r="N171" s="15" t="s">
        <v>1362</v>
      </c>
      <c r="P171" s="15" t="n">
        <v>-0.666666666666667</v>
      </c>
      <c r="Q171" s="15" t="s">
        <v>1089</v>
      </c>
      <c r="R171" s="15" t="n">
        <v>-0.737455197132616</v>
      </c>
      <c r="S171" s="15" t="s">
        <v>1089</v>
      </c>
      <c r="T171" s="15" t="s">
        <v>1090</v>
      </c>
      <c r="U171" s="56" t="s">
        <v>1330</v>
      </c>
      <c r="V171" s="15" t="n">
        <v>372</v>
      </c>
      <c r="W171" s="15" t="n">
        <v>293</v>
      </c>
      <c r="X171" s="15" t="s">
        <v>1331</v>
      </c>
      <c r="Y171" s="15" t="n">
        <v>-0.21236559139785</v>
      </c>
    </row>
    <row r="172" customFormat="false" ht="25" hidden="true" customHeight="false" outlineLevel="0" collapsed="false">
      <c r="A172" s="15" t="s">
        <v>196</v>
      </c>
      <c r="B172" s="15" t="s">
        <v>1328</v>
      </c>
      <c r="C172" s="15" t="n">
        <v>2012</v>
      </c>
      <c r="D172" s="15" t="s">
        <v>132</v>
      </c>
      <c r="F172" s="15" t="s">
        <v>1303</v>
      </c>
      <c r="G172" s="15" t="s">
        <v>1372</v>
      </c>
      <c r="H172" s="15" t="s">
        <v>1157</v>
      </c>
      <c r="I172" s="16" t="n">
        <v>36.1</v>
      </c>
      <c r="J172" s="16" t="n">
        <v>55.2</v>
      </c>
      <c r="K172" s="15" t="s">
        <v>1329</v>
      </c>
      <c r="L172" s="16" t="n">
        <v>29818.6</v>
      </c>
      <c r="M172" s="16" t="n">
        <v>16560</v>
      </c>
      <c r="N172" s="15" t="s">
        <v>1216</v>
      </c>
      <c r="P172" s="15" t="n">
        <v>0.529085872576177</v>
      </c>
      <c r="Q172" s="15" t="s">
        <v>1089</v>
      </c>
      <c r="R172" s="15" t="n">
        <v>-0.444641934899694</v>
      </c>
      <c r="S172" s="15" t="s">
        <v>1089</v>
      </c>
      <c r="T172" s="15" t="s">
        <v>1090</v>
      </c>
      <c r="U172" s="56" t="s">
        <v>1373</v>
      </c>
      <c r="V172" s="15" t="n">
        <v>826</v>
      </c>
      <c r="W172" s="15" t="n">
        <v>300</v>
      </c>
      <c r="X172" s="15" t="s">
        <v>1331</v>
      </c>
      <c r="Y172" s="15" t="n">
        <v>-64</v>
      </c>
    </row>
    <row r="173" customFormat="false" ht="25" hidden="false" customHeight="false" outlineLevel="0" collapsed="false">
      <c r="A173" s="15" t="s">
        <v>196</v>
      </c>
      <c r="B173" s="15" t="s">
        <v>1328</v>
      </c>
      <c r="C173" s="15" t="n">
        <v>2012</v>
      </c>
      <c r="D173" s="15" t="s">
        <v>132</v>
      </c>
      <c r="F173" s="15" t="s">
        <v>1303</v>
      </c>
      <c r="G173" s="15" t="s">
        <v>1372</v>
      </c>
      <c r="H173" s="15" t="s">
        <v>403</v>
      </c>
      <c r="I173" s="16" t="n">
        <v>8.8</v>
      </c>
      <c r="J173" s="16" t="n">
        <v>9.8</v>
      </c>
      <c r="K173" s="15" t="s">
        <v>1332</v>
      </c>
      <c r="L173" s="16" t="n">
        <v>7268.8</v>
      </c>
      <c r="M173" s="16" t="n">
        <v>2940</v>
      </c>
      <c r="N173" s="15" t="s">
        <v>1333</v>
      </c>
      <c r="P173" s="15" t="n">
        <v>0.113636363636364</v>
      </c>
      <c r="Q173" s="15" t="s">
        <v>1089</v>
      </c>
      <c r="R173" s="15" t="n">
        <v>-0.595531587057011</v>
      </c>
      <c r="S173" s="15" t="s">
        <v>1089</v>
      </c>
      <c r="T173" s="15" t="s">
        <v>1090</v>
      </c>
      <c r="U173" s="56" t="s">
        <v>1373</v>
      </c>
      <c r="V173" s="15" t="n">
        <v>826</v>
      </c>
      <c r="W173" s="15" t="n">
        <v>300</v>
      </c>
      <c r="X173" s="15" t="s">
        <v>1331</v>
      </c>
      <c r="Y173" s="15" t="n">
        <v>-64</v>
      </c>
    </row>
    <row r="174" customFormat="false" ht="25" hidden="true" customHeight="false" outlineLevel="0" collapsed="false">
      <c r="A174" s="15" t="s">
        <v>196</v>
      </c>
      <c r="B174" s="15" t="s">
        <v>1328</v>
      </c>
      <c r="C174" s="15" t="n">
        <v>2012</v>
      </c>
      <c r="D174" s="15" t="s">
        <v>132</v>
      </c>
      <c r="F174" s="15" t="s">
        <v>1303</v>
      </c>
      <c r="G174" s="15" t="s">
        <v>1372</v>
      </c>
      <c r="H174" s="15" t="s">
        <v>1334</v>
      </c>
      <c r="I174" s="16" t="n">
        <v>93.1</v>
      </c>
      <c r="J174" s="16" t="n">
        <v>100.3</v>
      </c>
      <c r="K174" s="15" t="s">
        <v>1335</v>
      </c>
      <c r="L174" s="16" t="n">
        <v>76900.6</v>
      </c>
      <c r="M174" s="16" t="n">
        <v>30090</v>
      </c>
      <c r="N174" s="15" t="s">
        <v>1336</v>
      </c>
      <c r="P174" s="15" t="n">
        <v>0.0773361976369495</v>
      </c>
      <c r="Q174" s="15" t="s">
        <v>1089</v>
      </c>
      <c r="R174" s="15" t="n">
        <v>-0.608715666717815</v>
      </c>
      <c r="S174" s="15" t="s">
        <v>1089</v>
      </c>
      <c r="T174" s="15" t="s">
        <v>1090</v>
      </c>
      <c r="U174" s="56" t="s">
        <v>1373</v>
      </c>
      <c r="V174" s="15" t="n">
        <v>826</v>
      </c>
      <c r="W174" s="15" t="n">
        <v>300</v>
      </c>
      <c r="X174" s="15" t="s">
        <v>1331</v>
      </c>
      <c r="Y174" s="15" t="n">
        <v>-64</v>
      </c>
    </row>
    <row r="175" customFormat="false" ht="25" hidden="true" customHeight="false" outlineLevel="0" collapsed="false">
      <c r="A175" s="15" t="s">
        <v>196</v>
      </c>
      <c r="B175" s="15" t="s">
        <v>1328</v>
      </c>
      <c r="C175" s="15" t="n">
        <v>2012</v>
      </c>
      <c r="D175" s="15" t="s">
        <v>132</v>
      </c>
      <c r="F175" s="15" t="s">
        <v>1303</v>
      </c>
      <c r="G175" s="15" t="s">
        <v>1372</v>
      </c>
      <c r="H175" s="15" t="s">
        <v>1337</v>
      </c>
      <c r="I175" s="16" t="n">
        <v>0.007</v>
      </c>
      <c r="J175" s="16" t="n">
        <v>0.008</v>
      </c>
      <c r="K175" s="15" t="s">
        <v>1338</v>
      </c>
      <c r="L175" s="16" t="n">
        <v>5.782</v>
      </c>
      <c r="M175" s="16" t="n">
        <v>2.4</v>
      </c>
      <c r="N175" s="15" t="s">
        <v>1339</v>
      </c>
      <c r="P175" s="15" t="n">
        <v>0.142857142857143</v>
      </c>
      <c r="Q175" s="15" t="s">
        <v>1089</v>
      </c>
      <c r="R175" s="15" t="n">
        <v>-0.584918713248011</v>
      </c>
      <c r="S175" s="15" t="s">
        <v>1089</v>
      </c>
      <c r="T175" s="15" t="s">
        <v>1090</v>
      </c>
      <c r="U175" s="56" t="s">
        <v>1373</v>
      </c>
      <c r="V175" s="15" t="n">
        <v>826</v>
      </c>
      <c r="W175" s="15" t="n">
        <v>300</v>
      </c>
      <c r="X175" s="15" t="s">
        <v>1331</v>
      </c>
      <c r="Y175" s="15" t="n">
        <v>-64</v>
      </c>
    </row>
    <row r="176" customFormat="false" ht="25" hidden="true" customHeight="false" outlineLevel="0" collapsed="false">
      <c r="A176" s="15" t="s">
        <v>196</v>
      </c>
      <c r="B176" s="15" t="s">
        <v>1328</v>
      </c>
      <c r="C176" s="15" t="n">
        <v>2012</v>
      </c>
      <c r="D176" s="15" t="s">
        <v>132</v>
      </c>
      <c r="F176" s="15" t="s">
        <v>1303</v>
      </c>
      <c r="G176" s="15" t="s">
        <v>1372</v>
      </c>
      <c r="H176" s="15" t="s">
        <v>1181</v>
      </c>
      <c r="I176" s="16" t="n">
        <v>0.0119</v>
      </c>
      <c r="J176" s="16" t="n">
        <v>0.0004</v>
      </c>
      <c r="K176" s="15" t="s">
        <v>1340</v>
      </c>
      <c r="L176" s="16" t="n">
        <v>9.8294</v>
      </c>
      <c r="M176" s="16" t="n">
        <v>0.12</v>
      </c>
      <c r="N176" s="15" t="s">
        <v>1341</v>
      </c>
      <c r="P176" s="15" t="n">
        <v>-0.966386554621849</v>
      </c>
      <c r="Q176" s="15" t="s">
        <v>1089</v>
      </c>
      <c r="R176" s="15" t="n">
        <v>-0.987791726860236</v>
      </c>
      <c r="S176" s="15" t="s">
        <v>1089</v>
      </c>
      <c r="T176" s="15" t="s">
        <v>1090</v>
      </c>
      <c r="U176" s="56" t="s">
        <v>1373</v>
      </c>
      <c r="V176" s="15" t="n">
        <v>826</v>
      </c>
      <c r="W176" s="15" t="n">
        <v>300</v>
      </c>
      <c r="X176" s="15" t="s">
        <v>1331</v>
      </c>
      <c r="Y176" s="15" t="n">
        <v>-64</v>
      </c>
    </row>
    <row r="177" customFormat="false" ht="25" hidden="true" customHeight="false" outlineLevel="0" collapsed="false">
      <c r="A177" s="15" t="s">
        <v>196</v>
      </c>
      <c r="B177" s="15" t="s">
        <v>1328</v>
      </c>
      <c r="C177" s="15" t="n">
        <v>2012</v>
      </c>
      <c r="D177" s="15" t="s">
        <v>132</v>
      </c>
      <c r="F177" s="15" t="s">
        <v>1303</v>
      </c>
      <c r="G177" s="15" t="s">
        <v>1372</v>
      </c>
      <c r="H177" s="15" t="s">
        <v>1184</v>
      </c>
      <c r="I177" s="16" t="n">
        <v>0.031</v>
      </c>
      <c r="J177" s="16" t="n">
        <v>0.0015</v>
      </c>
      <c r="K177" s="15" t="s">
        <v>1340</v>
      </c>
      <c r="L177" s="16" t="n">
        <v>25.606</v>
      </c>
      <c r="M177" s="16" t="n">
        <v>0.45</v>
      </c>
      <c r="N177" s="15" t="s">
        <v>1341</v>
      </c>
      <c r="P177" s="15" t="n">
        <v>-0.951612903225807</v>
      </c>
      <c r="Q177" s="15" t="s">
        <v>1089</v>
      </c>
      <c r="R177" s="15" t="n">
        <v>-0.982425993907678</v>
      </c>
      <c r="S177" s="15" t="s">
        <v>1089</v>
      </c>
      <c r="T177" s="15" t="s">
        <v>1090</v>
      </c>
      <c r="U177" s="56" t="s">
        <v>1373</v>
      </c>
      <c r="V177" s="15" t="n">
        <v>826</v>
      </c>
      <c r="W177" s="15" t="n">
        <v>300</v>
      </c>
      <c r="X177" s="15" t="s">
        <v>1331</v>
      </c>
      <c r="Y177" s="15" t="n">
        <v>-64</v>
      </c>
    </row>
    <row r="178" customFormat="false" ht="25" hidden="true" customHeight="false" outlineLevel="0" collapsed="false">
      <c r="A178" s="15" t="s">
        <v>196</v>
      </c>
      <c r="B178" s="15" t="s">
        <v>1328</v>
      </c>
      <c r="C178" s="15" t="n">
        <v>2012</v>
      </c>
      <c r="D178" s="15" t="s">
        <v>132</v>
      </c>
      <c r="F178" s="15" t="s">
        <v>1303</v>
      </c>
      <c r="G178" s="15" t="s">
        <v>1372</v>
      </c>
      <c r="H178" s="15" t="s">
        <v>1153</v>
      </c>
      <c r="I178" s="16" t="n">
        <v>12.1</v>
      </c>
      <c r="J178" s="16" t="n">
        <v>33.3</v>
      </c>
      <c r="K178" s="15" t="s">
        <v>1342</v>
      </c>
      <c r="L178" s="16" t="n">
        <v>9994.6</v>
      </c>
      <c r="M178" s="16" t="n">
        <v>9990</v>
      </c>
      <c r="N178" s="15" t="s">
        <v>1343</v>
      </c>
      <c r="P178" s="15" t="n">
        <v>1.75206611570248</v>
      </c>
      <c r="Q178" s="15" t="s">
        <v>1089</v>
      </c>
      <c r="R178" s="15" t="n">
        <v>-0.000460248534208563</v>
      </c>
      <c r="S178" s="15" t="s">
        <v>1089</v>
      </c>
      <c r="T178" s="15" t="s">
        <v>1090</v>
      </c>
      <c r="U178" s="56" t="s">
        <v>1373</v>
      </c>
      <c r="V178" s="15" t="n">
        <v>826</v>
      </c>
      <c r="W178" s="15" t="n">
        <v>300</v>
      </c>
      <c r="X178" s="15" t="s">
        <v>1331</v>
      </c>
      <c r="Y178" s="15" t="n">
        <v>-64</v>
      </c>
    </row>
    <row r="179" customFormat="false" ht="25" hidden="true" customHeight="false" outlineLevel="0" collapsed="false">
      <c r="A179" s="15" t="s">
        <v>196</v>
      </c>
      <c r="B179" s="15" t="s">
        <v>1328</v>
      </c>
      <c r="C179" s="15" t="n">
        <v>2012</v>
      </c>
      <c r="D179" s="15" t="s">
        <v>132</v>
      </c>
      <c r="F179" s="15" t="s">
        <v>1303</v>
      </c>
      <c r="G179" s="15" t="s">
        <v>1372</v>
      </c>
      <c r="H179" s="15" t="s">
        <v>1344</v>
      </c>
      <c r="I179" s="16" t="n">
        <v>4.3</v>
      </c>
      <c r="J179" s="16" t="n">
        <v>1.3</v>
      </c>
      <c r="K179" s="15" t="s">
        <v>1342</v>
      </c>
      <c r="L179" s="16" t="n">
        <v>3551.8</v>
      </c>
      <c r="M179" s="16" t="n">
        <v>390</v>
      </c>
      <c r="N179" s="15" t="s">
        <v>1345</v>
      </c>
      <c r="P179" s="15" t="n">
        <v>-0.697674418604651</v>
      </c>
      <c r="Q179" s="15" t="s">
        <v>1089</v>
      </c>
      <c r="R179" s="15" t="n">
        <v>-0.890196520074329</v>
      </c>
      <c r="S179" s="15" t="s">
        <v>1089</v>
      </c>
      <c r="T179" s="15" t="s">
        <v>1090</v>
      </c>
      <c r="U179" s="56" t="s">
        <v>1373</v>
      </c>
      <c r="V179" s="15" t="n">
        <v>826</v>
      </c>
      <c r="W179" s="15" t="n">
        <v>300</v>
      </c>
      <c r="X179" s="15" t="s">
        <v>1331</v>
      </c>
      <c r="Y179" s="15" t="n">
        <v>-64</v>
      </c>
    </row>
    <row r="180" customFormat="false" ht="25" hidden="true" customHeight="false" outlineLevel="0" collapsed="false">
      <c r="A180" s="15" t="s">
        <v>196</v>
      </c>
      <c r="B180" s="15" t="s">
        <v>1328</v>
      </c>
      <c r="C180" s="15" t="n">
        <v>2012</v>
      </c>
      <c r="D180" s="15" t="s">
        <v>132</v>
      </c>
      <c r="F180" s="15" t="s">
        <v>1303</v>
      </c>
      <c r="G180" s="15" t="s">
        <v>1372</v>
      </c>
      <c r="H180" s="15" t="s">
        <v>1346</v>
      </c>
      <c r="I180" s="16" t="n">
        <v>0.0217</v>
      </c>
      <c r="J180" s="16" t="n">
        <v>0.0005</v>
      </c>
      <c r="K180" s="15" t="s">
        <v>1347</v>
      </c>
      <c r="L180" s="16" t="n">
        <v>17.9242</v>
      </c>
      <c r="M180" s="16" t="n">
        <v>0.15</v>
      </c>
      <c r="N180" s="15" t="s">
        <v>1348</v>
      </c>
      <c r="P180" s="15" t="n">
        <v>-0.976958525345622</v>
      </c>
      <c r="Q180" s="15" t="s">
        <v>1089</v>
      </c>
      <c r="R180" s="15" t="n">
        <v>-0.991631425670323</v>
      </c>
      <c r="S180" s="15" t="s">
        <v>1089</v>
      </c>
      <c r="T180" s="15" t="s">
        <v>1090</v>
      </c>
      <c r="U180" s="56" t="s">
        <v>1373</v>
      </c>
      <c r="V180" s="15" t="n">
        <v>826</v>
      </c>
      <c r="W180" s="15" t="n">
        <v>300</v>
      </c>
      <c r="X180" s="15" t="s">
        <v>1331</v>
      </c>
      <c r="Y180" s="15" t="n">
        <v>-64</v>
      </c>
    </row>
    <row r="181" customFormat="false" ht="25" hidden="true" customHeight="false" outlineLevel="0" collapsed="false">
      <c r="A181" s="15" t="s">
        <v>196</v>
      </c>
      <c r="B181" s="15" t="s">
        <v>1328</v>
      </c>
      <c r="C181" s="15" t="n">
        <v>2012</v>
      </c>
      <c r="D181" s="15" t="s">
        <v>132</v>
      </c>
      <c r="F181" s="15" t="s">
        <v>1303</v>
      </c>
      <c r="G181" s="15" t="s">
        <v>1372</v>
      </c>
      <c r="H181" s="15" t="s">
        <v>1349</v>
      </c>
      <c r="I181" s="16" t="n">
        <v>0.058</v>
      </c>
      <c r="J181" s="16" t="n">
        <v>0.066</v>
      </c>
      <c r="K181" s="15" t="s">
        <v>1350</v>
      </c>
      <c r="L181" s="16" t="n">
        <v>47.908</v>
      </c>
      <c r="M181" s="16" t="n">
        <v>19.8</v>
      </c>
      <c r="N181" s="15" t="s">
        <v>1351</v>
      </c>
      <c r="P181" s="15" t="n">
        <v>0.137931034482759</v>
      </c>
      <c r="Q181" s="15" t="s">
        <v>1089</v>
      </c>
      <c r="R181" s="15" t="n">
        <v>-0.58670785672539</v>
      </c>
      <c r="S181" s="15" t="s">
        <v>1089</v>
      </c>
      <c r="T181" s="15" t="s">
        <v>1090</v>
      </c>
      <c r="U181" s="56" t="s">
        <v>1373</v>
      </c>
      <c r="V181" s="15" t="n">
        <v>826</v>
      </c>
      <c r="W181" s="15" t="n">
        <v>300</v>
      </c>
      <c r="X181" s="15" t="s">
        <v>1331</v>
      </c>
      <c r="Y181" s="15" t="n">
        <v>-64</v>
      </c>
    </row>
    <row r="182" customFormat="false" ht="25" hidden="true" customHeight="false" outlineLevel="0" collapsed="false">
      <c r="A182" s="15" t="s">
        <v>196</v>
      </c>
      <c r="B182" s="15" t="s">
        <v>1328</v>
      </c>
      <c r="C182" s="15" t="n">
        <v>2012</v>
      </c>
      <c r="D182" s="15" t="s">
        <v>132</v>
      </c>
      <c r="F182" s="15" t="s">
        <v>1303</v>
      </c>
      <c r="G182" s="15" t="s">
        <v>1372</v>
      </c>
      <c r="H182" s="15" t="s">
        <v>1352</v>
      </c>
      <c r="I182" s="16" t="n">
        <v>6.7</v>
      </c>
      <c r="J182" s="16" t="n">
        <v>12.8</v>
      </c>
      <c r="K182" s="15" t="s">
        <v>1347</v>
      </c>
      <c r="L182" s="16" t="n">
        <v>5534.2</v>
      </c>
      <c r="M182" s="16" t="n">
        <v>3840</v>
      </c>
      <c r="N182" s="15" t="s">
        <v>1348</v>
      </c>
      <c r="P182" s="15" t="n">
        <v>0.91044776119403</v>
      </c>
      <c r="Q182" s="15" t="s">
        <v>1089</v>
      </c>
      <c r="R182" s="15" t="n">
        <v>-0.306132774384735</v>
      </c>
      <c r="S182" s="15" t="s">
        <v>1089</v>
      </c>
      <c r="T182" s="15" t="s">
        <v>1090</v>
      </c>
      <c r="U182" s="56" t="s">
        <v>1373</v>
      </c>
      <c r="V182" s="15" t="n">
        <v>826</v>
      </c>
      <c r="W182" s="15" t="n">
        <v>300</v>
      </c>
      <c r="X182" s="15" t="s">
        <v>1331</v>
      </c>
      <c r="Y182" s="15" t="n">
        <v>-64</v>
      </c>
    </row>
    <row r="183" customFormat="false" ht="25" hidden="true" customHeight="false" outlineLevel="0" collapsed="false">
      <c r="A183" s="15" t="s">
        <v>196</v>
      </c>
      <c r="B183" s="15" t="s">
        <v>1328</v>
      </c>
      <c r="C183" s="15" t="n">
        <v>2012</v>
      </c>
      <c r="D183" s="15" t="s">
        <v>132</v>
      </c>
      <c r="F183" s="15" t="s">
        <v>1303</v>
      </c>
      <c r="G183" s="15" t="s">
        <v>1372</v>
      </c>
      <c r="H183" s="15" t="s">
        <v>1353</v>
      </c>
      <c r="I183" s="16" t="n">
        <v>0.03</v>
      </c>
      <c r="J183" s="16" t="n">
        <v>0.05</v>
      </c>
      <c r="K183" s="15" t="s">
        <v>1354</v>
      </c>
      <c r="L183" s="16" t="n">
        <v>24.78</v>
      </c>
      <c r="M183" s="16" t="n">
        <v>15</v>
      </c>
      <c r="N183" s="15" t="s">
        <v>1355</v>
      </c>
      <c r="P183" s="15" t="n">
        <v>0.666666666666667</v>
      </c>
      <c r="Q183" s="15" t="s">
        <v>1089</v>
      </c>
      <c r="R183" s="15" t="n">
        <v>-0.394673123486683</v>
      </c>
      <c r="S183" s="15" t="s">
        <v>1089</v>
      </c>
      <c r="T183" s="15" t="s">
        <v>1090</v>
      </c>
      <c r="U183" s="56" t="s">
        <v>1373</v>
      </c>
      <c r="V183" s="15" t="n">
        <v>826</v>
      </c>
      <c r="W183" s="15" t="n">
        <v>300</v>
      </c>
      <c r="X183" s="15" t="s">
        <v>1331</v>
      </c>
      <c r="Y183" s="15" t="n">
        <v>-64</v>
      </c>
    </row>
    <row r="184" customFormat="false" ht="25" hidden="true" customHeight="false" outlineLevel="0" collapsed="false">
      <c r="A184" s="15" t="s">
        <v>196</v>
      </c>
      <c r="B184" s="15" t="s">
        <v>1328</v>
      </c>
      <c r="C184" s="15" t="n">
        <v>2012</v>
      </c>
      <c r="D184" s="15" t="s">
        <v>132</v>
      </c>
      <c r="F184" s="15" t="s">
        <v>1303</v>
      </c>
      <c r="G184" s="15" t="s">
        <v>1372</v>
      </c>
      <c r="H184" s="15" t="s">
        <v>1356</v>
      </c>
      <c r="I184" s="16" t="n">
        <v>0.0011</v>
      </c>
      <c r="J184" s="16" t="n">
        <v>0.0017</v>
      </c>
      <c r="K184" s="15" t="s">
        <v>1357</v>
      </c>
      <c r="L184" s="16" t="n">
        <v>0.9086</v>
      </c>
      <c r="M184" s="16" t="n">
        <v>0.51</v>
      </c>
      <c r="N184" s="15" t="s">
        <v>1358</v>
      </c>
      <c r="P184" s="15" t="n">
        <v>0.545454545454545</v>
      </c>
      <c r="Q184" s="15" t="s">
        <v>1089</v>
      </c>
      <c r="R184" s="15" t="n">
        <v>-0.438696896324015</v>
      </c>
      <c r="S184" s="15" t="s">
        <v>1089</v>
      </c>
      <c r="T184" s="15" t="s">
        <v>1090</v>
      </c>
      <c r="U184" s="56" t="s">
        <v>1373</v>
      </c>
      <c r="V184" s="15" t="n">
        <v>826</v>
      </c>
      <c r="W184" s="15" t="n">
        <v>300</v>
      </c>
      <c r="X184" s="15" t="s">
        <v>1331</v>
      </c>
      <c r="Y184" s="15" t="n">
        <v>-64</v>
      </c>
    </row>
    <row r="185" customFormat="false" ht="25" hidden="true" customHeight="false" outlineLevel="0" collapsed="false">
      <c r="A185" s="15" t="s">
        <v>196</v>
      </c>
      <c r="B185" s="15" t="s">
        <v>1328</v>
      </c>
      <c r="C185" s="15" t="n">
        <v>2012</v>
      </c>
      <c r="D185" s="15" t="s">
        <v>132</v>
      </c>
      <c r="F185" s="15" t="s">
        <v>1303</v>
      </c>
      <c r="G185" s="15" t="s">
        <v>1372</v>
      </c>
      <c r="H185" s="15" t="s">
        <v>1311</v>
      </c>
      <c r="I185" s="16" t="n">
        <v>1.7</v>
      </c>
      <c r="J185" s="16" t="n">
        <v>3.1</v>
      </c>
      <c r="K185" s="15" t="s">
        <v>1359</v>
      </c>
      <c r="L185" s="16" t="n">
        <v>1404.2</v>
      </c>
      <c r="M185" s="16" t="n">
        <v>930</v>
      </c>
      <c r="N185" s="15" t="s">
        <v>1359</v>
      </c>
      <c r="P185" s="15" t="n">
        <v>0.823529411764706</v>
      </c>
      <c r="Q185" s="15" t="s">
        <v>1089</v>
      </c>
      <c r="R185" s="15" t="n">
        <v>-0.337701182167782</v>
      </c>
      <c r="S185" s="15" t="s">
        <v>1089</v>
      </c>
      <c r="T185" s="15" t="s">
        <v>1090</v>
      </c>
      <c r="U185" s="56" t="s">
        <v>1373</v>
      </c>
      <c r="V185" s="15" t="n">
        <v>826</v>
      </c>
      <c r="W185" s="15" t="n">
        <v>300</v>
      </c>
      <c r="X185" s="15" t="s">
        <v>1331</v>
      </c>
      <c r="Y185" s="15" t="n">
        <v>-64</v>
      </c>
    </row>
    <row r="186" customFormat="false" ht="25" hidden="true" customHeight="false" outlineLevel="0" collapsed="false">
      <c r="A186" s="15" t="s">
        <v>196</v>
      </c>
      <c r="B186" s="15" t="s">
        <v>1328</v>
      </c>
      <c r="C186" s="15" t="n">
        <v>2012</v>
      </c>
      <c r="D186" s="15" t="s">
        <v>132</v>
      </c>
      <c r="F186" s="15" t="s">
        <v>1303</v>
      </c>
      <c r="G186" s="15" t="s">
        <v>1372</v>
      </c>
      <c r="H186" s="15" t="s">
        <v>1360</v>
      </c>
      <c r="I186" s="16" t="n">
        <v>0.034</v>
      </c>
      <c r="J186" s="16" t="n">
        <v>0.0021</v>
      </c>
      <c r="K186" s="15" t="s">
        <v>1361</v>
      </c>
      <c r="L186" s="16" t="n">
        <v>28.084</v>
      </c>
      <c r="M186" s="16" t="n">
        <v>0.63</v>
      </c>
      <c r="N186" s="15" t="s">
        <v>1362</v>
      </c>
      <c r="P186" s="15" t="n">
        <v>-0.938235294117647</v>
      </c>
      <c r="Q186" s="15" t="s">
        <v>1089</v>
      </c>
      <c r="R186" s="15" t="n">
        <v>-0.977567298105683</v>
      </c>
      <c r="S186" s="15" t="s">
        <v>1089</v>
      </c>
      <c r="T186" s="15" t="s">
        <v>1090</v>
      </c>
      <c r="U186" s="56" t="s">
        <v>1373</v>
      </c>
      <c r="V186" s="15" t="n">
        <v>826</v>
      </c>
      <c r="W186" s="15" t="n">
        <v>300</v>
      </c>
      <c r="X186" s="15" t="s">
        <v>1331</v>
      </c>
      <c r="Y186" s="15" t="n">
        <v>-64</v>
      </c>
    </row>
    <row r="187" customFormat="false" ht="25" hidden="true" customHeight="false" outlineLevel="0" collapsed="false">
      <c r="A187" s="15" t="s">
        <v>196</v>
      </c>
      <c r="B187" s="15" t="s">
        <v>1328</v>
      </c>
      <c r="C187" s="15" t="n">
        <v>2012</v>
      </c>
      <c r="D187" s="15" t="s">
        <v>132</v>
      </c>
      <c r="F187" s="15" t="s">
        <v>1303</v>
      </c>
      <c r="G187" s="15" t="s">
        <v>1372</v>
      </c>
      <c r="H187" s="15" t="s">
        <v>1363</v>
      </c>
      <c r="I187" s="16" t="n">
        <v>0.0046</v>
      </c>
      <c r="J187" s="16" t="s">
        <v>1364</v>
      </c>
      <c r="K187" s="15" t="s">
        <v>1361</v>
      </c>
      <c r="L187" s="16" t="n">
        <v>3.7996</v>
      </c>
      <c r="M187" s="16" t="n">
        <v>0.03</v>
      </c>
      <c r="N187" s="15" t="s">
        <v>1362</v>
      </c>
      <c r="P187" s="15" t="n">
        <v>-0.978260869565217</v>
      </c>
      <c r="Q187" s="15" t="s">
        <v>1089</v>
      </c>
      <c r="R187" s="15" t="n">
        <v>-0.992104432045479</v>
      </c>
      <c r="S187" s="15" t="s">
        <v>1089</v>
      </c>
      <c r="T187" s="15" t="s">
        <v>1090</v>
      </c>
      <c r="U187" s="56" t="s">
        <v>1373</v>
      </c>
      <c r="V187" s="15" t="n">
        <v>826</v>
      </c>
      <c r="W187" s="15" t="n">
        <v>300</v>
      </c>
      <c r="X187" s="15" t="s">
        <v>1331</v>
      </c>
      <c r="Y187" s="15" t="n">
        <v>-64</v>
      </c>
    </row>
    <row r="188" customFormat="false" ht="25" hidden="true" customHeight="false" outlineLevel="0" collapsed="false">
      <c r="A188" s="15" t="s">
        <v>196</v>
      </c>
      <c r="B188" s="15" t="s">
        <v>1328</v>
      </c>
      <c r="C188" s="15" t="n">
        <v>2012</v>
      </c>
      <c r="D188" s="15" t="s">
        <v>132</v>
      </c>
      <c r="F188" s="15" t="s">
        <v>1303</v>
      </c>
      <c r="G188" s="15" t="s">
        <v>1372</v>
      </c>
      <c r="H188" s="15" t="s">
        <v>1365</v>
      </c>
      <c r="I188" s="16" t="n">
        <v>0.033</v>
      </c>
      <c r="J188" s="16" t="n">
        <v>0.043</v>
      </c>
      <c r="K188" s="15" t="s">
        <v>1361</v>
      </c>
      <c r="L188" s="16" t="n">
        <v>27.258</v>
      </c>
      <c r="M188" s="16" t="n">
        <v>12.9</v>
      </c>
      <c r="N188" s="15" t="s">
        <v>1362</v>
      </c>
      <c r="P188" s="15" t="n">
        <v>0.303030303030303</v>
      </c>
      <c r="Q188" s="15" t="s">
        <v>1089</v>
      </c>
      <c r="R188" s="15" t="n">
        <v>-0.526744441998679</v>
      </c>
      <c r="S188" s="15" t="s">
        <v>1089</v>
      </c>
      <c r="T188" s="15" t="s">
        <v>1090</v>
      </c>
      <c r="U188" s="56" t="s">
        <v>1373</v>
      </c>
      <c r="V188" s="15" t="n">
        <v>826</v>
      </c>
      <c r="W188" s="15" t="n">
        <v>300</v>
      </c>
      <c r="X188" s="15" t="s">
        <v>1331</v>
      </c>
      <c r="Y188" s="15" t="n">
        <v>-64</v>
      </c>
    </row>
    <row r="189" customFormat="false" ht="25" hidden="true" customHeight="false" outlineLevel="0" collapsed="false">
      <c r="A189" s="15" t="s">
        <v>196</v>
      </c>
      <c r="B189" s="15" t="s">
        <v>1328</v>
      </c>
      <c r="C189" s="15" t="n">
        <v>2012</v>
      </c>
      <c r="D189" s="15" t="s">
        <v>132</v>
      </c>
      <c r="F189" s="15" t="s">
        <v>1303</v>
      </c>
      <c r="G189" s="15" t="s">
        <v>1372</v>
      </c>
      <c r="H189" s="15" t="s">
        <v>1366</v>
      </c>
      <c r="I189" s="16" t="n">
        <v>0.151</v>
      </c>
      <c r="J189" s="16" t="s">
        <v>1367</v>
      </c>
      <c r="K189" s="15" t="s">
        <v>1361</v>
      </c>
      <c r="L189" s="16" t="n">
        <v>124.726</v>
      </c>
      <c r="M189" s="16" t="n">
        <v>0.3</v>
      </c>
      <c r="N189" s="15" t="s">
        <v>1362</v>
      </c>
      <c r="P189" s="15" t="n">
        <v>-0.993377483443709</v>
      </c>
      <c r="Q189" s="15" t="s">
        <v>1089</v>
      </c>
      <c r="R189" s="15" t="n">
        <v>-0.997594727642993</v>
      </c>
      <c r="S189" s="15" t="s">
        <v>1089</v>
      </c>
      <c r="T189" s="15" t="s">
        <v>1090</v>
      </c>
      <c r="U189" s="56" t="s">
        <v>1373</v>
      </c>
      <c r="V189" s="15" t="n">
        <v>826</v>
      </c>
      <c r="W189" s="15" t="n">
        <v>300</v>
      </c>
      <c r="X189" s="15" t="s">
        <v>1331</v>
      </c>
      <c r="Y189" s="15" t="n">
        <v>-64</v>
      </c>
    </row>
    <row r="190" customFormat="false" ht="25" hidden="true" customHeight="false" outlineLevel="0" collapsed="false">
      <c r="A190" s="15" t="s">
        <v>196</v>
      </c>
      <c r="B190" s="15" t="s">
        <v>1328</v>
      </c>
      <c r="C190" s="15" t="n">
        <v>2012</v>
      </c>
      <c r="D190" s="15" t="s">
        <v>132</v>
      </c>
      <c r="F190" s="15" t="s">
        <v>1303</v>
      </c>
      <c r="G190" s="15" t="s">
        <v>1372</v>
      </c>
      <c r="H190" s="15" t="s">
        <v>1368</v>
      </c>
      <c r="I190" s="16" t="n">
        <v>1.7</v>
      </c>
      <c r="J190" s="16" t="n">
        <v>2.57</v>
      </c>
      <c r="K190" s="15" t="s">
        <v>1361</v>
      </c>
      <c r="L190" s="16" t="n">
        <v>1404.2</v>
      </c>
      <c r="M190" s="16" t="n">
        <v>771</v>
      </c>
      <c r="N190" s="15" t="s">
        <v>1369</v>
      </c>
      <c r="P190" s="15" t="n">
        <v>0.511764705882353</v>
      </c>
      <c r="Q190" s="15" t="s">
        <v>1089</v>
      </c>
      <c r="R190" s="15" t="n">
        <v>-0.450932915539097</v>
      </c>
      <c r="S190" s="15" t="s">
        <v>1089</v>
      </c>
      <c r="T190" s="15" t="s">
        <v>1090</v>
      </c>
      <c r="U190" s="56" t="s">
        <v>1373</v>
      </c>
      <c r="V190" s="15" t="n">
        <v>826</v>
      </c>
      <c r="W190" s="15" t="n">
        <v>300</v>
      </c>
      <c r="X190" s="15" t="s">
        <v>1331</v>
      </c>
      <c r="Y190" s="15" t="n">
        <v>-64</v>
      </c>
    </row>
    <row r="191" customFormat="false" ht="25" hidden="true" customHeight="false" outlineLevel="0" collapsed="false">
      <c r="A191" s="15" t="s">
        <v>196</v>
      </c>
      <c r="B191" s="15" t="s">
        <v>1328</v>
      </c>
      <c r="C191" s="15" t="n">
        <v>2012</v>
      </c>
      <c r="D191" s="15" t="s">
        <v>132</v>
      </c>
      <c r="F191" s="15" t="s">
        <v>1303</v>
      </c>
      <c r="G191" s="15" t="s">
        <v>1372</v>
      </c>
      <c r="H191" s="15" t="s">
        <v>1370</v>
      </c>
      <c r="I191" s="16" t="n">
        <v>0.07</v>
      </c>
      <c r="J191" s="16" t="s">
        <v>1371</v>
      </c>
      <c r="K191" s="15" t="s">
        <v>1361</v>
      </c>
      <c r="L191" s="16" t="n">
        <v>57.82</v>
      </c>
      <c r="M191" s="16" t="n">
        <v>3</v>
      </c>
      <c r="N191" s="15" t="s">
        <v>1362</v>
      </c>
      <c r="P191" s="15" t="n">
        <v>-0.857142857142857</v>
      </c>
      <c r="Q191" s="15" t="s">
        <v>1089</v>
      </c>
      <c r="R191" s="15" t="n">
        <v>-0.948114839156001</v>
      </c>
      <c r="S191" s="15" t="s">
        <v>1089</v>
      </c>
      <c r="T191" s="15" t="s">
        <v>1090</v>
      </c>
      <c r="U191" s="56" t="s">
        <v>1373</v>
      </c>
      <c r="V191" s="15" t="n">
        <v>826</v>
      </c>
      <c r="W191" s="15" t="n">
        <v>300</v>
      </c>
      <c r="X191" s="15" t="s">
        <v>1331</v>
      </c>
      <c r="Y191" s="15" t="n">
        <v>-64</v>
      </c>
    </row>
    <row r="192" customFormat="false" ht="13.8" hidden="false" customHeight="false" outlineLevel="0" collapsed="false">
      <c r="A192" s="15" t="s">
        <v>92</v>
      </c>
      <c r="B192" s="15" t="s">
        <v>1374</v>
      </c>
      <c r="C192" s="15" t="n">
        <v>2010</v>
      </c>
      <c r="D192" s="15" t="s">
        <v>104</v>
      </c>
      <c r="F192" s="15" t="s">
        <v>1375</v>
      </c>
      <c r="H192" s="15" t="s">
        <v>403</v>
      </c>
      <c r="I192" s="16" t="n">
        <v>1.173</v>
      </c>
      <c r="J192" s="16" t="n">
        <v>1.017</v>
      </c>
      <c r="K192" s="57" t="s">
        <v>1376</v>
      </c>
      <c r="L192" s="16" t="n">
        <v>5259.732</v>
      </c>
      <c r="M192" s="16" t="n">
        <v>4167.666</v>
      </c>
      <c r="N192" s="57" t="s">
        <v>1377</v>
      </c>
      <c r="O192" s="15" t="s">
        <v>1378</v>
      </c>
      <c r="P192" s="15" t="n">
        <v>-0.132992327365729</v>
      </c>
      <c r="Q192" s="15" t="s">
        <v>1089</v>
      </c>
      <c r="R192" s="15" t="n">
        <v>-0.207627689015334</v>
      </c>
      <c r="S192" s="15" t="s">
        <v>1089</v>
      </c>
      <c r="T192" s="15" t="s">
        <v>1090</v>
      </c>
      <c r="U192" s="15" t="s">
        <v>1379</v>
      </c>
      <c r="V192" s="15" t="n">
        <v>4484</v>
      </c>
      <c r="W192" s="15" t="n">
        <v>4098</v>
      </c>
      <c r="X192" s="15" t="s">
        <v>1380</v>
      </c>
      <c r="Y192" s="15" t="n">
        <v>-0.0860838537020517</v>
      </c>
    </row>
    <row r="193" customFormat="false" ht="13.8" hidden="true" customHeight="false" outlineLevel="0" collapsed="false">
      <c r="A193" s="15" t="s">
        <v>92</v>
      </c>
      <c r="B193" s="15" t="s">
        <v>1374</v>
      </c>
      <c r="C193" s="15" t="n">
        <v>2010</v>
      </c>
      <c r="D193" s="15" t="s">
        <v>104</v>
      </c>
      <c r="F193" s="15" t="s">
        <v>1375</v>
      </c>
      <c r="H193" s="15" t="s">
        <v>1153</v>
      </c>
      <c r="I193" s="16" t="n">
        <v>2.23</v>
      </c>
      <c r="J193" s="16" t="n">
        <v>2.44</v>
      </c>
      <c r="K193" s="57" t="s">
        <v>1381</v>
      </c>
      <c r="L193" s="16" t="s">
        <v>628</v>
      </c>
      <c r="M193" s="16" t="s">
        <v>628</v>
      </c>
      <c r="N193" s="57" t="s">
        <v>1382</v>
      </c>
      <c r="O193" s="15" t="s">
        <v>1378</v>
      </c>
      <c r="P193" s="15" t="n">
        <v>0.094170403587444</v>
      </c>
      <c r="Q193" s="15" t="s">
        <v>1089</v>
      </c>
      <c r="R193" s="15" t="s">
        <v>628</v>
      </c>
      <c r="S193" s="15" t="s">
        <v>1089</v>
      </c>
      <c r="T193" s="15" t="s">
        <v>1090</v>
      </c>
      <c r="U193" s="15" t="s">
        <v>1379</v>
      </c>
      <c r="V193" s="15" t="n">
        <v>4484</v>
      </c>
      <c r="W193" s="15" t="n">
        <v>4098</v>
      </c>
      <c r="X193" s="15" t="s">
        <v>1380</v>
      </c>
      <c r="Y193" s="15" t="n">
        <v>-0.0860838537020517</v>
      </c>
    </row>
    <row r="194" customFormat="false" ht="13.8" hidden="false" customHeight="false" outlineLevel="0" collapsed="false">
      <c r="A194" s="15" t="s">
        <v>92</v>
      </c>
      <c r="B194" s="15" t="s">
        <v>1374</v>
      </c>
      <c r="C194" s="15" t="n">
        <v>2010</v>
      </c>
      <c r="D194" s="15" t="s">
        <v>104</v>
      </c>
      <c r="F194" s="15" t="s">
        <v>1383</v>
      </c>
      <c r="H194" s="15" t="s">
        <v>403</v>
      </c>
      <c r="I194" s="16" t="n">
        <v>1.032</v>
      </c>
      <c r="J194" s="16" t="n">
        <v>0.946</v>
      </c>
      <c r="K194" s="57" t="s">
        <v>1376</v>
      </c>
      <c r="L194" s="16" t="n">
        <v>6789.528</v>
      </c>
      <c r="M194" s="16" t="n">
        <v>5875.606</v>
      </c>
      <c r="N194" s="57" t="s">
        <v>1384</v>
      </c>
      <c r="O194" s="15" t="s">
        <v>1378</v>
      </c>
      <c r="P194" s="15" t="n">
        <v>-0.0833333333333334</v>
      </c>
      <c r="Q194" s="15" t="s">
        <v>1089</v>
      </c>
      <c r="R194" s="15" t="n">
        <v>-0.134607589805948</v>
      </c>
      <c r="S194" s="15" t="s">
        <v>1089</v>
      </c>
      <c r="T194" s="15" t="s">
        <v>1090</v>
      </c>
      <c r="U194" s="15" t="s">
        <v>1379</v>
      </c>
      <c r="V194" s="15" t="n">
        <v>6579</v>
      </c>
      <c r="W194" s="15" t="n">
        <v>6211</v>
      </c>
      <c r="X194" s="15" t="s">
        <v>1380</v>
      </c>
      <c r="Y194" s="15" t="n">
        <v>-0.0559355525155799</v>
      </c>
    </row>
    <row r="195" customFormat="false" ht="13.8" hidden="true" customHeight="false" outlineLevel="0" collapsed="false">
      <c r="A195" s="15" t="s">
        <v>92</v>
      </c>
      <c r="B195" s="15" t="s">
        <v>1374</v>
      </c>
      <c r="C195" s="15" t="n">
        <v>2010</v>
      </c>
      <c r="D195" s="15" t="s">
        <v>104</v>
      </c>
      <c r="F195" s="15" t="s">
        <v>1383</v>
      </c>
      <c r="H195" s="15" t="s">
        <v>1153</v>
      </c>
      <c r="I195" s="16" t="n">
        <v>1.52</v>
      </c>
      <c r="J195" s="16" t="n">
        <v>1.61</v>
      </c>
      <c r="K195" s="57" t="s">
        <v>1381</v>
      </c>
      <c r="L195" s="16" t="s">
        <v>628</v>
      </c>
      <c r="M195" s="16" t="s">
        <v>628</v>
      </c>
      <c r="N195" s="57" t="s">
        <v>1382</v>
      </c>
      <c r="O195" s="15" t="s">
        <v>1378</v>
      </c>
      <c r="P195" s="15" t="n">
        <v>0.0592105263157896</v>
      </c>
      <c r="Q195" s="15" t="s">
        <v>1089</v>
      </c>
      <c r="R195" s="15" t="s">
        <v>628</v>
      </c>
      <c r="S195" s="15" t="s">
        <v>1089</v>
      </c>
      <c r="T195" s="15" t="s">
        <v>1090</v>
      </c>
      <c r="U195" s="15" t="s">
        <v>1379</v>
      </c>
      <c r="V195" s="15" t="n">
        <v>6579</v>
      </c>
      <c r="W195" s="15" t="n">
        <v>6211</v>
      </c>
      <c r="X195" s="15" t="s">
        <v>1380</v>
      </c>
      <c r="Y195" s="15" t="n">
        <v>-0.0559355525155799</v>
      </c>
    </row>
    <row r="196" customFormat="false" ht="13.8" hidden="false" customHeight="false" outlineLevel="0" collapsed="false">
      <c r="A196" s="15" t="s">
        <v>92</v>
      </c>
      <c r="B196" s="15" t="s">
        <v>1374</v>
      </c>
      <c r="C196" s="15" t="n">
        <v>2010</v>
      </c>
      <c r="D196" s="15" t="s">
        <v>104</v>
      </c>
      <c r="F196" s="15" t="s">
        <v>1383</v>
      </c>
      <c r="H196" s="15" t="s">
        <v>403</v>
      </c>
      <c r="I196" s="16" t="n">
        <v>1.027</v>
      </c>
      <c r="J196" s="16" t="n">
        <v>0.908</v>
      </c>
      <c r="K196" s="57" t="s">
        <v>1376</v>
      </c>
      <c r="L196" s="16" t="n">
        <v>6458.803</v>
      </c>
      <c r="M196" s="16" t="n">
        <v>5372.636</v>
      </c>
      <c r="N196" s="57" t="s">
        <v>1384</v>
      </c>
      <c r="O196" s="15" t="s">
        <v>1378</v>
      </c>
      <c r="P196" s="15" t="n">
        <v>-0.11587147030185</v>
      </c>
      <c r="Q196" s="15" t="s">
        <v>1089</v>
      </c>
      <c r="R196" s="15" t="n">
        <v>-0.168168467129281</v>
      </c>
      <c r="S196" s="15" t="s">
        <v>1089</v>
      </c>
      <c r="T196" s="15" t="s">
        <v>1090</v>
      </c>
      <c r="U196" s="15" t="s">
        <v>1379</v>
      </c>
      <c r="V196" s="15" t="n">
        <v>6289</v>
      </c>
      <c r="W196" s="15" t="n">
        <v>5917</v>
      </c>
      <c r="X196" s="15" t="s">
        <v>1380</v>
      </c>
      <c r="Y196" s="15" t="n">
        <v>-0.0591508983940213</v>
      </c>
    </row>
    <row r="197" customFormat="false" ht="13.8" hidden="true" customHeight="false" outlineLevel="0" collapsed="false">
      <c r="A197" s="15" t="s">
        <v>92</v>
      </c>
      <c r="B197" s="15" t="s">
        <v>1374</v>
      </c>
      <c r="C197" s="15" t="n">
        <v>2010</v>
      </c>
      <c r="D197" s="15" t="s">
        <v>104</v>
      </c>
      <c r="F197" s="15" t="s">
        <v>1383</v>
      </c>
      <c r="H197" s="15" t="s">
        <v>1153</v>
      </c>
      <c r="I197" s="16" t="n">
        <v>1.59</v>
      </c>
      <c r="J197" s="16" t="n">
        <v>1.69</v>
      </c>
      <c r="K197" s="57" t="s">
        <v>1381</v>
      </c>
      <c r="L197" s="16" t="s">
        <v>628</v>
      </c>
      <c r="M197" s="16" t="s">
        <v>628</v>
      </c>
      <c r="N197" s="57" t="s">
        <v>1382</v>
      </c>
      <c r="O197" s="15" t="s">
        <v>1378</v>
      </c>
      <c r="P197" s="15" t="n">
        <v>0.0628930817610063</v>
      </c>
      <c r="Q197" s="15" t="s">
        <v>1089</v>
      </c>
      <c r="R197" s="15" t="s">
        <v>628</v>
      </c>
      <c r="S197" s="15" t="s">
        <v>1089</v>
      </c>
      <c r="T197" s="15" t="s">
        <v>1090</v>
      </c>
      <c r="U197" s="15" t="s">
        <v>1379</v>
      </c>
      <c r="V197" s="15" t="n">
        <v>6289</v>
      </c>
      <c r="W197" s="15" t="n">
        <v>5917</v>
      </c>
      <c r="X197" s="15" t="s">
        <v>1380</v>
      </c>
      <c r="Y197" s="15" t="n">
        <v>-0.0591508983940213</v>
      </c>
    </row>
    <row r="198" customFormat="false" ht="13.8" hidden="false" customHeight="false" outlineLevel="0" collapsed="false">
      <c r="A198" s="15" t="s">
        <v>92</v>
      </c>
      <c r="B198" s="15" t="s">
        <v>1374</v>
      </c>
      <c r="C198" s="15" t="n">
        <v>2010</v>
      </c>
      <c r="D198" s="15" t="s">
        <v>104</v>
      </c>
      <c r="F198" s="15" t="s">
        <v>1385</v>
      </c>
      <c r="H198" s="15" t="s">
        <v>403</v>
      </c>
      <c r="I198" s="16" t="n">
        <v>0.898</v>
      </c>
      <c r="J198" s="16" t="n">
        <v>0.814</v>
      </c>
      <c r="K198" s="57" t="s">
        <v>1376</v>
      </c>
      <c r="L198" s="16" t="n">
        <v>7675.206</v>
      </c>
      <c r="M198" s="16" t="n">
        <v>6214.076</v>
      </c>
      <c r="N198" s="57" t="s">
        <v>1384</v>
      </c>
      <c r="O198" s="15" t="s">
        <v>1378</v>
      </c>
      <c r="P198" s="15" t="n">
        <v>-0.0935412026726059</v>
      </c>
      <c r="Q198" s="15" t="s">
        <v>1089</v>
      </c>
      <c r="R198" s="15" t="n">
        <v>-0.190370134690847</v>
      </c>
      <c r="S198" s="15" t="s">
        <v>1089</v>
      </c>
      <c r="T198" s="15" t="s">
        <v>1090</v>
      </c>
      <c r="U198" s="15" t="s">
        <v>1379</v>
      </c>
      <c r="V198" s="15" t="n">
        <v>8547</v>
      </c>
      <c r="W198" s="15" t="n">
        <v>7634</v>
      </c>
      <c r="X198" s="15" t="s">
        <v>1380</v>
      </c>
      <c r="Y198" s="15" t="n">
        <v>-0.106821106821107</v>
      </c>
    </row>
    <row r="199" customFormat="false" ht="13.8" hidden="true" customHeight="false" outlineLevel="0" collapsed="false">
      <c r="A199" s="15" t="s">
        <v>92</v>
      </c>
      <c r="B199" s="15" t="s">
        <v>1374</v>
      </c>
      <c r="C199" s="15" t="n">
        <v>2010</v>
      </c>
      <c r="D199" s="15" t="s">
        <v>104</v>
      </c>
      <c r="F199" s="15" t="s">
        <v>1385</v>
      </c>
      <c r="H199" s="15" t="s">
        <v>1153</v>
      </c>
      <c r="I199" s="16" t="n">
        <v>1.17</v>
      </c>
      <c r="J199" s="16" t="n">
        <v>1.31</v>
      </c>
      <c r="K199" s="57" t="s">
        <v>1381</v>
      </c>
      <c r="L199" s="16" t="s">
        <v>628</v>
      </c>
      <c r="M199" s="16" t="s">
        <v>628</v>
      </c>
      <c r="N199" s="57" t="s">
        <v>1382</v>
      </c>
      <c r="O199" s="15" t="s">
        <v>1378</v>
      </c>
      <c r="P199" s="15" t="n">
        <v>0.11965811965812</v>
      </c>
      <c r="Q199" s="15" t="s">
        <v>1089</v>
      </c>
      <c r="R199" s="15" t="s">
        <v>628</v>
      </c>
      <c r="S199" s="15" t="s">
        <v>1089</v>
      </c>
      <c r="T199" s="15" t="s">
        <v>1090</v>
      </c>
      <c r="U199" s="15" t="s">
        <v>1379</v>
      </c>
      <c r="V199" s="15" t="n">
        <v>8547</v>
      </c>
      <c r="W199" s="15" t="n">
        <v>7634</v>
      </c>
      <c r="X199" s="15" t="s">
        <v>1380</v>
      </c>
      <c r="Y199" s="15" t="n">
        <v>-0.106821106821107</v>
      </c>
    </row>
    <row r="200" customFormat="false" ht="13.8" hidden="false" customHeight="false" outlineLevel="0" collapsed="false">
      <c r="A200" s="15" t="s">
        <v>92</v>
      </c>
      <c r="B200" s="15" t="s">
        <v>1386</v>
      </c>
      <c r="C200" s="15" t="n">
        <v>2013</v>
      </c>
      <c r="D200" s="15" t="s">
        <v>101</v>
      </c>
      <c r="F200" s="15" t="s">
        <v>1385</v>
      </c>
      <c r="H200" s="15" t="s">
        <v>403</v>
      </c>
      <c r="I200" s="16" t="n">
        <v>1.5</v>
      </c>
      <c r="J200" s="16" t="n">
        <v>1.265</v>
      </c>
      <c r="K200" s="57" t="s">
        <v>1387</v>
      </c>
      <c r="L200" s="16" t="n">
        <v>13640</v>
      </c>
      <c r="M200" s="16" t="n">
        <v>6441.38</v>
      </c>
      <c r="N200" s="57" t="s">
        <v>1384</v>
      </c>
      <c r="O200" s="15" t="s">
        <v>1388</v>
      </c>
      <c r="P200" s="15" t="n">
        <v>-0.156666666666667</v>
      </c>
      <c r="Q200" s="15" t="s">
        <v>1089</v>
      </c>
      <c r="R200" s="15" t="n">
        <v>-0.527758064516129</v>
      </c>
      <c r="S200" s="15" t="s">
        <v>1089</v>
      </c>
      <c r="T200" s="15" t="s">
        <v>1090</v>
      </c>
      <c r="U200" s="15" t="s">
        <v>1389</v>
      </c>
      <c r="V200" s="15" t="n">
        <v>9093.33333333333</v>
      </c>
      <c r="W200" s="15" t="n">
        <v>5092</v>
      </c>
      <c r="X200" s="15" t="s">
        <v>1390</v>
      </c>
      <c r="Y200" s="15" t="n">
        <v>-0.440029325513197</v>
      </c>
    </row>
    <row r="201" customFormat="false" ht="13.8" hidden="true" customHeight="false" outlineLevel="0" collapsed="false">
      <c r="A201" s="15" t="s">
        <v>92</v>
      </c>
      <c r="B201" s="15" t="s">
        <v>1386</v>
      </c>
      <c r="C201" s="15" t="n">
        <v>2014</v>
      </c>
      <c r="D201" s="15" t="s">
        <v>101</v>
      </c>
      <c r="F201" s="15" t="s">
        <v>1385</v>
      </c>
      <c r="H201" s="15" t="s">
        <v>1311</v>
      </c>
      <c r="I201" s="16" t="n">
        <v>0.0180066666666667</v>
      </c>
      <c r="J201" s="16" t="n">
        <v>0.0157</v>
      </c>
      <c r="K201" s="15" t="s">
        <v>1391</v>
      </c>
      <c r="L201" s="16" t="n">
        <v>163.740622222222</v>
      </c>
      <c r="M201" s="16" t="n">
        <v>79.9444</v>
      </c>
      <c r="N201" s="15" t="s">
        <v>1392</v>
      </c>
      <c r="O201" s="15" t="s">
        <v>1388</v>
      </c>
      <c r="P201" s="15" t="n">
        <v>-0.128100703443169</v>
      </c>
      <c r="Q201" s="15" t="s">
        <v>1089</v>
      </c>
      <c r="R201" s="15" t="n">
        <v>-0.511761962822502</v>
      </c>
      <c r="S201" s="15" t="s">
        <v>1089</v>
      </c>
      <c r="T201" s="15" t="s">
        <v>1090</v>
      </c>
      <c r="U201" s="15" t="s">
        <v>1389</v>
      </c>
      <c r="V201" s="15" t="n">
        <v>9093.33333333333</v>
      </c>
      <c r="W201" s="15" t="n">
        <v>5092</v>
      </c>
      <c r="X201" s="15" t="s">
        <v>1390</v>
      </c>
      <c r="Y201" s="15" t="n">
        <v>-0.440029325513197</v>
      </c>
    </row>
    <row r="202" customFormat="false" ht="13.8" hidden="true" customHeight="false" outlineLevel="0" collapsed="false">
      <c r="A202" s="15" t="s">
        <v>92</v>
      </c>
      <c r="B202" s="15" t="s">
        <v>1386</v>
      </c>
      <c r="C202" s="15" t="n">
        <v>2015</v>
      </c>
      <c r="D202" s="15" t="s">
        <v>101</v>
      </c>
      <c r="F202" s="15" t="s">
        <v>1385</v>
      </c>
      <c r="H202" s="15" t="s">
        <v>1165</v>
      </c>
      <c r="I202" s="16" t="n">
        <v>0.00815</v>
      </c>
      <c r="J202" s="16" t="n">
        <v>0.006965</v>
      </c>
      <c r="K202" s="57" t="s">
        <v>1393</v>
      </c>
      <c r="L202" s="16" t="n">
        <v>74.1106666666667</v>
      </c>
      <c r="M202" s="16" t="n">
        <v>35.46578</v>
      </c>
      <c r="N202" s="57" t="s">
        <v>1394</v>
      </c>
      <c r="O202" s="15" t="s">
        <v>1388</v>
      </c>
      <c r="P202" s="15" t="n">
        <v>-0.145398773006135</v>
      </c>
      <c r="Q202" s="15" t="s">
        <v>1089</v>
      </c>
      <c r="R202" s="15" t="n">
        <v>-0.521448374502996</v>
      </c>
      <c r="S202" s="15" t="s">
        <v>1089</v>
      </c>
      <c r="T202" s="15" t="s">
        <v>1090</v>
      </c>
      <c r="U202" s="15" t="s">
        <v>1389</v>
      </c>
      <c r="V202" s="15" t="n">
        <v>9093.33333333333</v>
      </c>
      <c r="W202" s="15" t="n">
        <v>5092</v>
      </c>
      <c r="X202" s="15" t="s">
        <v>1390</v>
      </c>
      <c r="Y202" s="15" t="n">
        <v>-0.440029325513197</v>
      </c>
    </row>
    <row r="203" customFormat="false" ht="13.8" hidden="true" customHeight="false" outlineLevel="0" collapsed="false">
      <c r="A203" s="15" t="s">
        <v>92</v>
      </c>
      <c r="B203" s="15" t="s">
        <v>1386</v>
      </c>
      <c r="C203" s="15" t="n">
        <v>2016</v>
      </c>
      <c r="D203" s="15" t="s">
        <v>101</v>
      </c>
      <c r="F203" s="15" t="s">
        <v>1385</v>
      </c>
      <c r="H203" s="15" t="s">
        <v>1157</v>
      </c>
      <c r="I203" s="16" t="n">
        <v>3.77666666666667</v>
      </c>
      <c r="J203" s="16" t="n">
        <v>2.71</v>
      </c>
      <c r="K203" s="15" t="s">
        <v>1395</v>
      </c>
      <c r="L203" s="16" t="n">
        <v>34342.4888888889</v>
      </c>
      <c r="M203" s="16" t="n">
        <v>13799.32</v>
      </c>
      <c r="N203" s="15" t="s">
        <v>1216</v>
      </c>
      <c r="O203" s="15" t="s">
        <v>1388</v>
      </c>
      <c r="P203" s="15" t="n">
        <v>-0.282436010591351</v>
      </c>
      <c r="Q203" s="15" t="s">
        <v>1089</v>
      </c>
      <c r="R203" s="15" t="n">
        <v>-0.598185208863397</v>
      </c>
      <c r="S203" s="15" t="s">
        <v>1089</v>
      </c>
      <c r="T203" s="15" t="s">
        <v>1090</v>
      </c>
      <c r="U203" s="15" t="s">
        <v>1389</v>
      </c>
      <c r="V203" s="15" t="n">
        <v>9093.33333333333</v>
      </c>
      <c r="W203" s="15" t="n">
        <v>5092</v>
      </c>
      <c r="X203" s="15" t="s">
        <v>1390</v>
      </c>
      <c r="Y203" s="15" t="n">
        <v>-0.440029325513197</v>
      </c>
    </row>
    <row r="204" customFormat="false" ht="13.8" hidden="true" customHeight="false" outlineLevel="0" collapsed="false">
      <c r="A204" s="15" t="s">
        <v>92</v>
      </c>
      <c r="B204" s="15" t="s">
        <v>1386</v>
      </c>
      <c r="C204" s="15" t="n">
        <v>2017</v>
      </c>
      <c r="D204" s="15" t="s">
        <v>101</v>
      </c>
      <c r="F204" s="15" t="s">
        <v>1385</v>
      </c>
      <c r="H204" s="15" t="s">
        <v>1153</v>
      </c>
      <c r="I204" s="16" t="n">
        <v>1.26666666666667</v>
      </c>
      <c r="J204" s="16" t="n">
        <v>1.745</v>
      </c>
      <c r="K204" s="57" t="s">
        <v>1396</v>
      </c>
      <c r="L204" s="16" t="s">
        <v>628</v>
      </c>
      <c r="M204" s="16" t="s">
        <v>628</v>
      </c>
      <c r="N204" s="57" t="s">
        <v>1315</v>
      </c>
      <c r="O204" s="15" t="s">
        <v>1388</v>
      </c>
      <c r="P204" s="15" t="n">
        <v>0.377631578947369</v>
      </c>
      <c r="Q204" s="15" t="s">
        <v>1089</v>
      </c>
      <c r="R204" s="15" t="s">
        <v>628</v>
      </c>
      <c r="S204" s="15" t="s">
        <v>1089</v>
      </c>
      <c r="T204" s="15" t="s">
        <v>1090</v>
      </c>
      <c r="U204" s="15" t="s">
        <v>1389</v>
      </c>
      <c r="V204" s="15" t="n">
        <v>9093.33333333333</v>
      </c>
      <c r="W204" s="15" t="n">
        <v>5092</v>
      </c>
      <c r="X204" s="15" t="s">
        <v>1390</v>
      </c>
      <c r="Y204" s="15" t="n">
        <v>-0.440029325513197</v>
      </c>
    </row>
    <row r="205" customFormat="false" ht="13.8" hidden="true" customHeight="false" outlineLevel="0" collapsed="false">
      <c r="A205" s="15" t="s">
        <v>92</v>
      </c>
      <c r="B205" s="15" t="s">
        <v>1397</v>
      </c>
      <c r="C205" s="15" t="n">
        <v>2011</v>
      </c>
      <c r="D205" s="15" t="s">
        <v>101</v>
      </c>
      <c r="F205" s="15" t="s">
        <v>1385</v>
      </c>
      <c r="H205" s="15" t="s">
        <v>1153</v>
      </c>
      <c r="I205" s="16" t="n">
        <v>1.78</v>
      </c>
      <c r="J205" s="16" t="n">
        <v>2.37</v>
      </c>
      <c r="K205" s="57" t="s">
        <v>1398</v>
      </c>
      <c r="L205" s="16" t="s">
        <v>628</v>
      </c>
      <c r="M205" s="16" t="s">
        <v>628</v>
      </c>
      <c r="N205" s="57" t="s">
        <v>1382</v>
      </c>
      <c r="P205" s="15" t="n">
        <v>0.331460674157303</v>
      </c>
      <c r="Q205" s="15" t="s">
        <v>1164</v>
      </c>
      <c r="R205" s="15" t="s">
        <v>628</v>
      </c>
      <c r="S205" s="15" t="s">
        <v>1089</v>
      </c>
      <c r="T205" s="15" t="s">
        <v>1090</v>
      </c>
      <c r="U205" s="15" t="s">
        <v>1399</v>
      </c>
      <c r="V205" s="15" t="n">
        <v>5618</v>
      </c>
      <c r="W205" s="15" t="n">
        <v>4219</v>
      </c>
      <c r="X205" s="15" t="s">
        <v>1380</v>
      </c>
      <c r="Y205" s="15" t="n">
        <v>-0.249021003915984</v>
      </c>
    </row>
    <row r="206" customFormat="false" ht="13.8" hidden="false" customHeight="false" outlineLevel="0" collapsed="false">
      <c r="A206" s="15" t="s">
        <v>92</v>
      </c>
      <c r="B206" s="15" t="s">
        <v>1397</v>
      </c>
      <c r="C206" s="15" t="n">
        <v>2011</v>
      </c>
      <c r="D206" s="15" t="s">
        <v>101</v>
      </c>
      <c r="F206" s="15" t="s">
        <v>1385</v>
      </c>
      <c r="H206" s="15" t="s">
        <v>403</v>
      </c>
      <c r="I206" s="16" t="n">
        <v>1.2</v>
      </c>
      <c r="J206" s="16" t="n">
        <v>1.27</v>
      </c>
      <c r="K206" s="57" t="s">
        <v>1387</v>
      </c>
      <c r="L206" s="16" t="n">
        <v>6741.6</v>
      </c>
      <c r="M206" s="16" t="n">
        <v>5358.13</v>
      </c>
      <c r="N206" s="57" t="s">
        <v>1400</v>
      </c>
      <c r="P206" s="15" t="n">
        <v>0.0583333333333334</v>
      </c>
      <c r="Q206" s="15" t="s">
        <v>1160</v>
      </c>
      <c r="R206" s="15" t="n">
        <v>-0.205213895811083</v>
      </c>
      <c r="S206" s="15" t="s">
        <v>1089</v>
      </c>
      <c r="T206" s="15" t="s">
        <v>1090</v>
      </c>
      <c r="U206" s="15" t="s">
        <v>1399</v>
      </c>
      <c r="V206" s="15" t="n">
        <v>5618</v>
      </c>
      <c r="W206" s="15" t="n">
        <v>4219</v>
      </c>
      <c r="X206" s="15" t="s">
        <v>1380</v>
      </c>
      <c r="Y206" s="15" t="n">
        <v>-0.249021003915984</v>
      </c>
    </row>
    <row r="207" customFormat="false" ht="13.8" hidden="false" customHeight="false" outlineLevel="0" collapsed="false">
      <c r="A207" s="15" t="s">
        <v>92</v>
      </c>
      <c r="B207" s="15" t="s">
        <v>1397</v>
      </c>
      <c r="C207" s="15" t="n">
        <v>2011</v>
      </c>
      <c r="D207" s="15" t="s">
        <v>101</v>
      </c>
      <c r="F207" s="15" t="s">
        <v>1385</v>
      </c>
      <c r="H207" s="15" t="s">
        <v>403</v>
      </c>
      <c r="I207" s="16" t="n">
        <v>1.03</v>
      </c>
      <c r="J207" s="16" t="n">
        <v>1.06</v>
      </c>
      <c r="K207" s="57" t="s">
        <v>1387</v>
      </c>
      <c r="L207" s="16" t="n">
        <v>5786.54</v>
      </c>
      <c r="M207" s="16" t="n">
        <v>4472.14</v>
      </c>
      <c r="N207" s="57" t="s">
        <v>1400</v>
      </c>
      <c r="P207" s="15" t="n">
        <v>0.029126213592233</v>
      </c>
      <c r="Q207" s="15" t="s">
        <v>1164</v>
      </c>
      <c r="R207" s="15" t="n">
        <v>-0.227147829272761</v>
      </c>
      <c r="S207" s="15" t="s">
        <v>1089</v>
      </c>
      <c r="T207" s="15" t="s">
        <v>1090</v>
      </c>
      <c r="U207" s="15" t="s">
        <v>1399</v>
      </c>
      <c r="V207" s="15" t="n">
        <v>5618</v>
      </c>
      <c r="W207" s="15" t="n">
        <v>4219</v>
      </c>
      <c r="X207" s="15" t="s">
        <v>1380</v>
      </c>
      <c r="Y207" s="15" t="n">
        <v>-0.249021003915984</v>
      </c>
    </row>
    <row r="208" customFormat="false" ht="13.8" hidden="false" customHeight="false" outlineLevel="0" collapsed="false">
      <c r="A208" s="15" t="s">
        <v>92</v>
      </c>
      <c r="B208" s="15" t="s">
        <v>1397</v>
      </c>
      <c r="C208" s="15" t="n">
        <v>2011</v>
      </c>
      <c r="D208" s="15" t="s">
        <v>101</v>
      </c>
      <c r="F208" s="15" t="s">
        <v>1385</v>
      </c>
      <c r="H208" s="15" t="s">
        <v>403</v>
      </c>
      <c r="I208" s="16" t="n">
        <v>0.99</v>
      </c>
      <c r="J208" s="16" t="n">
        <v>1.02</v>
      </c>
      <c r="K208" s="57" t="s">
        <v>1387</v>
      </c>
      <c r="L208" s="16" t="n">
        <v>5561.82</v>
      </c>
      <c r="M208" s="16" t="n">
        <v>4303.38</v>
      </c>
      <c r="N208" s="57" t="s">
        <v>1401</v>
      </c>
      <c r="P208" s="15" t="n">
        <v>0.0303030303030303</v>
      </c>
      <c r="Q208" s="15" t="s">
        <v>1164</v>
      </c>
      <c r="R208" s="15" t="n">
        <v>-0.226264064640711</v>
      </c>
      <c r="S208" s="15" t="s">
        <v>1089</v>
      </c>
      <c r="T208" s="15" t="s">
        <v>1090</v>
      </c>
      <c r="U208" s="15" t="s">
        <v>1399</v>
      </c>
      <c r="V208" s="15" t="n">
        <v>5618</v>
      </c>
      <c r="W208" s="15" t="n">
        <v>4219</v>
      </c>
      <c r="X208" s="15" t="s">
        <v>1380</v>
      </c>
      <c r="Y208" s="15" t="n">
        <v>-0.249021003915984</v>
      </c>
    </row>
    <row r="209" customFormat="false" ht="13.8" hidden="false" customHeight="false" outlineLevel="0" collapsed="false">
      <c r="A209" s="15" t="s">
        <v>92</v>
      </c>
      <c r="B209" s="15" t="s">
        <v>1397</v>
      </c>
      <c r="C209" s="15" t="n">
        <v>2011</v>
      </c>
      <c r="D209" s="15" t="s">
        <v>101</v>
      </c>
      <c r="F209" s="15" t="s">
        <v>1385</v>
      </c>
      <c r="H209" s="15" t="s">
        <v>403</v>
      </c>
      <c r="I209" s="16" t="n">
        <v>0.91</v>
      </c>
      <c r="J209" s="16" t="n">
        <v>0.9</v>
      </c>
      <c r="K209" s="57" t="s">
        <v>1387</v>
      </c>
      <c r="L209" s="16" t="n">
        <v>5112.38</v>
      </c>
      <c r="M209" s="16" t="n">
        <v>3797.1</v>
      </c>
      <c r="N209" s="57" t="s">
        <v>1401</v>
      </c>
      <c r="P209" s="15" t="n">
        <v>-0.010989010989011</v>
      </c>
      <c r="Q209" s="15" t="s">
        <v>1164</v>
      </c>
      <c r="R209" s="15" t="n">
        <v>-0.257273520356468</v>
      </c>
      <c r="S209" s="15" t="s">
        <v>1089</v>
      </c>
      <c r="T209" s="15" t="s">
        <v>1090</v>
      </c>
      <c r="U209" s="15" t="s">
        <v>1399</v>
      </c>
      <c r="V209" s="15" t="n">
        <v>5618</v>
      </c>
      <c r="W209" s="15" t="n">
        <v>4219</v>
      </c>
      <c r="X209" s="15" t="s">
        <v>1380</v>
      </c>
      <c r="Y209" s="15" t="n">
        <v>-0.249021003915984</v>
      </c>
    </row>
    <row r="210" customFormat="false" ht="13.8" hidden="false" customHeight="false" outlineLevel="0" collapsed="false">
      <c r="A210" s="15" t="s">
        <v>92</v>
      </c>
      <c r="B210" s="15" t="s">
        <v>1397</v>
      </c>
      <c r="C210" s="15" t="n">
        <v>2011</v>
      </c>
      <c r="D210" s="15" t="s">
        <v>101</v>
      </c>
      <c r="F210" s="15" t="s">
        <v>1385</v>
      </c>
      <c r="H210" s="15" t="s">
        <v>403</v>
      </c>
      <c r="I210" s="16" t="n">
        <v>1.06</v>
      </c>
      <c r="J210" s="16" t="n">
        <v>1.1</v>
      </c>
      <c r="K210" s="57" t="s">
        <v>1387</v>
      </c>
      <c r="L210" s="16" t="n">
        <v>5955.08</v>
      </c>
      <c r="M210" s="16" t="n">
        <v>4640.9</v>
      </c>
      <c r="N210" s="57" t="s">
        <v>1400</v>
      </c>
      <c r="P210" s="15" t="n">
        <v>0.0377358490566038</v>
      </c>
      <c r="Q210" s="15" t="s">
        <v>1164</v>
      </c>
      <c r="R210" s="15" t="n">
        <v>-0.220682173875078</v>
      </c>
      <c r="S210" s="15" t="s">
        <v>1089</v>
      </c>
      <c r="T210" s="15" t="s">
        <v>1090</v>
      </c>
      <c r="U210" s="15" t="s">
        <v>1399</v>
      </c>
      <c r="V210" s="15" t="n">
        <v>5618</v>
      </c>
      <c r="W210" s="15" t="n">
        <v>4219</v>
      </c>
      <c r="X210" s="15" t="s">
        <v>1380</v>
      </c>
      <c r="Y210" s="15" t="n">
        <v>-0.249021003915984</v>
      </c>
    </row>
    <row r="211" customFormat="false" ht="13.8" hidden="false" customHeight="false" outlineLevel="0" collapsed="false">
      <c r="A211" s="15" t="s">
        <v>92</v>
      </c>
      <c r="B211" s="15" t="s">
        <v>1397</v>
      </c>
      <c r="C211" s="15" t="n">
        <v>2011</v>
      </c>
      <c r="D211" s="15" t="s">
        <v>101</v>
      </c>
      <c r="F211" s="15" t="s">
        <v>1385</v>
      </c>
      <c r="H211" s="15" t="s">
        <v>403</v>
      </c>
      <c r="I211" s="16" t="n">
        <v>0.94</v>
      </c>
      <c r="J211" s="16" t="n">
        <v>0.96</v>
      </c>
      <c r="K211" s="57" t="s">
        <v>1387</v>
      </c>
      <c r="L211" s="16" t="n">
        <v>5280.92</v>
      </c>
      <c r="M211" s="16" t="n">
        <v>4050.24</v>
      </c>
      <c r="N211" s="57" t="s">
        <v>1400</v>
      </c>
      <c r="P211" s="15" t="n">
        <v>0.0212765957446808</v>
      </c>
      <c r="Q211" s="15" t="s">
        <v>1164</v>
      </c>
      <c r="R211" s="15" t="n">
        <v>-0.233042727403558</v>
      </c>
      <c r="S211" s="15" t="s">
        <v>1089</v>
      </c>
      <c r="T211" s="15" t="s">
        <v>1090</v>
      </c>
      <c r="U211" s="15" t="s">
        <v>1399</v>
      </c>
      <c r="V211" s="15" t="n">
        <v>5618</v>
      </c>
      <c r="W211" s="15" t="n">
        <v>4219</v>
      </c>
      <c r="X211" s="15" t="s">
        <v>1380</v>
      </c>
      <c r="Y211" s="15" t="n">
        <v>-0.249021003915984</v>
      </c>
    </row>
    <row r="212" customFormat="false" ht="13.8" hidden="true" customHeight="false" outlineLevel="0" collapsed="false">
      <c r="A212" s="15" t="s">
        <v>92</v>
      </c>
      <c r="B212" s="15" t="s">
        <v>1211</v>
      </c>
      <c r="C212" s="15" t="n">
        <v>2006</v>
      </c>
      <c r="D212" s="15" t="s">
        <v>145</v>
      </c>
      <c r="F212" s="15" t="s">
        <v>1303</v>
      </c>
      <c r="H212" s="15" t="s">
        <v>1157</v>
      </c>
      <c r="I212" s="16" t="n">
        <v>2.52</v>
      </c>
      <c r="J212" s="16" t="n">
        <v>1.56</v>
      </c>
      <c r="K212" s="15" t="s">
        <v>1402</v>
      </c>
      <c r="L212" s="16" t="n">
        <v>21175.56</v>
      </c>
      <c r="M212" s="16" t="n">
        <v>7879.56</v>
      </c>
      <c r="N212" s="15" t="s">
        <v>1403</v>
      </c>
      <c r="P212" s="15" t="n">
        <v>-0.380952380952381</v>
      </c>
      <c r="Q212" s="15" t="s">
        <v>1089</v>
      </c>
      <c r="R212" s="15" t="n">
        <v>-0.627893666094309</v>
      </c>
      <c r="S212" s="15" t="s">
        <v>1089</v>
      </c>
      <c r="T212" s="15" t="s">
        <v>1090</v>
      </c>
      <c r="U212" s="15" t="s">
        <v>1214</v>
      </c>
      <c r="V212" s="15" t="n">
        <v>8403</v>
      </c>
      <c r="W212" s="15" t="n">
        <v>5051</v>
      </c>
      <c r="X212" s="15" t="s">
        <v>1380</v>
      </c>
      <c r="Y212" s="15" t="n">
        <v>-0.398905152921576</v>
      </c>
    </row>
    <row r="213" customFormat="false" ht="13.8" hidden="false" customHeight="false" outlineLevel="0" collapsed="false">
      <c r="A213" s="15" t="s">
        <v>92</v>
      </c>
      <c r="B213" s="15" t="s">
        <v>1211</v>
      </c>
      <c r="C213" s="15" t="n">
        <v>2006</v>
      </c>
      <c r="D213" s="15" t="s">
        <v>145</v>
      </c>
      <c r="F213" s="15" t="s">
        <v>1303</v>
      </c>
      <c r="H213" s="15" t="s">
        <v>403</v>
      </c>
      <c r="I213" s="16" t="n">
        <v>1.06</v>
      </c>
      <c r="J213" s="16" t="n">
        <v>1.23</v>
      </c>
      <c r="K213" s="57" t="s">
        <v>1404</v>
      </c>
      <c r="L213" s="16" t="n">
        <v>8907.18</v>
      </c>
      <c r="M213" s="16" t="n">
        <v>6212.73</v>
      </c>
      <c r="N213" s="57" t="s">
        <v>1377</v>
      </c>
      <c r="P213" s="15" t="n">
        <v>0.160377358490566</v>
      </c>
      <c r="Q213" s="15" t="s">
        <v>1089</v>
      </c>
      <c r="R213" s="15" t="n">
        <v>-0.302503149144847</v>
      </c>
      <c r="S213" s="15" t="s">
        <v>1089</v>
      </c>
      <c r="T213" s="15" t="s">
        <v>1090</v>
      </c>
      <c r="U213" s="15" t="s">
        <v>1214</v>
      </c>
      <c r="V213" s="15" t="n">
        <v>8403</v>
      </c>
      <c r="W213" s="15" t="n">
        <v>5051</v>
      </c>
      <c r="X213" s="15" t="s">
        <v>1380</v>
      </c>
      <c r="Y213" s="15" t="n">
        <v>-0.398905152921576</v>
      </c>
    </row>
    <row r="214" customFormat="false" ht="13.8" hidden="true" customHeight="false" outlineLevel="0" collapsed="false">
      <c r="A214" s="15" t="s">
        <v>92</v>
      </c>
      <c r="B214" s="15" t="s">
        <v>1211</v>
      </c>
      <c r="C214" s="15" t="n">
        <v>2006</v>
      </c>
      <c r="D214" s="15" t="s">
        <v>145</v>
      </c>
      <c r="F214" s="15" t="s">
        <v>1303</v>
      </c>
      <c r="H214" s="15" t="s">
        <v>1165</v>
      </c>
      <c r="I214" s="16" t="n">
        <v>0.0063</v>
      </c>
      <c r="J214" s="16" t="n">
        <v>0.0103</v>
      </c>
      <c r="K214" s="57" t="s">
        <v>1405</v>
      </c>
      <c r="L214" s="16" t="n">
        <v>52.9389</v>
      </c>
      <c r="M214" s="16" t="n">
        <v>52.0253</v>
      </c>
      <c r="N214" s="57" t="s">
        <v>1406</v>
      </c>
      <c r="P214" s="15" t="n">
        <v>0.634920634920635</v>
      </c>
      <c r="Q214" s="15" t="s">
        <v>1089</v>
      </c>
      <c r="R214" s="15" t="n">
        <v>-0.0172576309670205</v>
      </c>
      <c r="S214" s="15" t="s">
        <v>1089</v>
      </c>
      <c r="T214" s="15" t="s">
        <v>1090</v>
      </c>
      <c r="U214" s="15" t="s">
        <v>1214</v>
      </c>
      <c r="V214" s="15" t="n">
        <v>8403</v>
      </c>
      <c r="W214" s="15" t="n">
        <v>5051</v>
      </c>
      <c r="X214" s="15" t="s">
        <v>1380</v>
      </c>
      <c r="Y214" s="15" t="n">
        <v>-0.398905152921576</v>
      </c>
    </row>
    <row r="215" customFormat="false" ht="13.8" hidden="true" customHeight="false" outlineLevel="0" collapsed="false">
      <c r="A215" s="15" t="s">
        <v>92</v>
      </c>
      <c r="B215" s="15" t="s">
        <v>1211</v>
      </c>
      <c r="C215" s="15" t="n">
        <v>2006</v>
      </c>
      <c r="D215" s="15" t="s">
        <v>145</v>
      </c>
      <c r="F215" s="15" t="s">
        <v>1303</v>
      </c>
      <c r="H215" s="15" t="s">
        <v>1311</v>
      </c>
      <c r="I215" s="16" t="n">
        <v>0.0162</v>
      </c>
      <c r="J215" s="16" t="n">
        <v>0.0264</v>
      </c>
      <c r="K215" s="57" t="s">
        <v>1407</v>
      </c>
      <c r="L215" s="16" t="n">
        <v>136.1286</v>
      </c>
      <c r="M215" s="16" t="n">
        <v>133.3464</v>
      </c>
      <c r="N215" s="57" t="s">
        <v>1408</v>
      </c>
      <c r="P215" s="15" t="n">
        <v>0.62962962962963</v>
      </c>
      <c r="Q215" s="15" t="s">
        <v>1089</v>
      </c>
      <c r="R215" s="15" t="n">
        <v>-0.0204380269833085</v>
      </c>
      <c r="S215" s="15" t="s">
        <v>1089</v>
      </c>
      <c r="T215" s="15" t="s">
        <v>1090</v>
      </c>
      <c r="U215" s="15" t="s">
        <v>1214</v>
      </c>
      <c r="V215" s="15" t="n">
        <v>8403</v>
      </c>
      <c r="W215" s="15" t="n">
        <v>5051</v>
      </c>
      <c r="X215" s="15" t="s">
        <v>1380</v>
      </c>
      <c r="Y215" s="15" t="n">
        <v>-0.398905152921576</v>
      </c>
    </row>
    <row r="216" customFormat="false" ht="13.8" hidden="true" customHeight="false" outlineLevel="0" collapsed="false">
      <c r="A216" s="15" t="s">
        <v>92</v>
      </c>
      <c r="B216" s="15" t="s">
        <v>1211</v>
      </c>
      <c r="C216" s="15" t="n">
        <v>2006</v>
      </c>
      <c r="D216" s="15" t="s">
        <v>145</v>
      </c>
      <c r="F216" s="15" t="s">
        <v>1303</v>
      </c>
      <c r="H216" s="15" t="s">
        <v>1313</v>
      </c>
      <c r="I216" s="16" t="n">
        <v>3.5</v>
      </c>
      <c r="J216" s="16" t="n">
        <v>0</v>
      </c>
      <c r="K216" s="57" t="s">
        <v>1409</v>
      </c>
      <c r="L216" s="16" t="n">
        <v>29410.5</v>
      </c>
      <c r="M216" s="16" t="n">
        <v>0</v>
      </c>
      <c r="N216" s="57" t="s">
        <v>1410</v>
      </c>
      <c r="P216" s="15" t="n">
        <v>-1</v>
      </c>
      <c r="Q216" s="15" t="s">
        <v>1089</v>
      </c>
      <c r="R216" s="15" t="n">
        <v>-1</v>
      </c>
      <c r="S216" s="15" t="s">
        <v>1089</v>
      </c>
      <c r="T216" s="15" t="s">
        <v>1090</v>
      </c>
      <c r="U216" s="15" t="s">
        <v>1214</v>
      </c>
      <c r="V216" s="15" t="n">
        <v>8403</v>
      </c>
      <c r="W216" s="15" t="n">
        <v>5051</v>
      </c>
      <c r="X216" s="15" t="s">
        <v>1380</v>
      </c>
      <c r="Y216" s="15" t="n">
        <v>-0.398905152921576</v>
      </c>
    </row>
    <row r="217" customFormat="false" ht="13.8" hidden="true" customHeight="false" outlineLevel="0" collapsed="false">
      <c r="A217" s="15" t="s">
        <v>92</v>
      </c>
      <c r="B217" s="15" t="s">
        <v>1211</v>
      </c>
      <c r="C217" s="15" t="n">
        <v>2006</v>
      </c>
      <c r="D217" s="15" t="s">
        <v>145</v>
      </c>
      <c r="F217" s="15" t="s">
        <v>1303</v>
      </c>
      <c r="H217" s="15" t="s">
        <v>1153</v>
      </c>
      <c r="I217" s="16" t="n">
        <v>1.19</v>
      </c>
      <c r="J217" s="16" t="n">
        <v>1.98</v>
      </c>
      <c r="K217" s="57" t="s">
        <v>1409</v>
      </c>
      <c r="L217" s="16" t="s">
        <v>628</v>
      </c>
      <c r="M217" s="16" t="s">
        <v>628</v>
      </c>
      <c r="N217" s="57" t="s">
        <v>1315</v>
      </c>
      <c r="P217" s="15" t="n">
        <v>0.663865546218488</v>
      </c>
      <c r="Q217" s="15" t="s">
        <v>1089</v>
      </c>
      <c r="R217" s="15" t="s">
        <v>628</v>
      </c>
      <c r="S217" s="15" t="s">
        <v>1089</v>
      </c>
      <c r="T217" s="15" t="s">
        <v>1090</v>
      </c>
      <c r="U217" s="15" t="s">
        <v>1214</v>
      </c>
      <c r="V217" s="15" t="n">
        <v>8403</v>
      </c>
      <c r="W217" s="15" t="n">
        <v>5051</v>
      </c>
      <c r="X217" s="15" t="s">
        <v>1380</v>
      </c>
      <c r="Y217" s="15" t="n">
        <v>-0.398905152921576</v>
      </c>
    </row>
    <row r="218" customFormat="false" ht="13.8" hidden="true" customHeight="false" outlineLevel="0" collapsed="false">
      <c r="A218" s="15" t="s">
        <v>92</v>
      </c>
      <c r="B218" s="15" t="s">
        <v>1211</v>
      </c>
      <c r="C218" s="15" t="n">
        <v>2006</v>
      </c>
      <c r="D218" s="15" t="s">
        <v>145</v>
      </c>
      <c r="F218" s="15" t="s">
        <v>1303</v>
      </c>
      <c r="H218" s="15" t="s">
        <v>1112</v>
      </c>
      <c r="I218" s="16" t="n">
        <v>0.0028</v>
      </c>
      <c r="J218" s="16" t="n">
        <v>0.0014</v>
      </c>
      <c r="K218" s="15" t="s">
        <v>1411</v>
      </c>
      <c r="L218" s="16" t="n">
        <v>23.5284</v>
      </c>
      <c r="M218" s="16" t="n">
        <v>7.0714</v>
      </c>
      <c r="N218" s="15" t="s">
        <v>1317</v>
      </c>
      <c r="O218" s="15" t="s">
        <v>1412</v>
      </c>
      <c r="P218" s="15" t="n">
        <v>-0.5</v>
      </c>
      <c r="Q218" s="15" t="s">
        <v>1089</v>
      </c>
      <c r="R218" s="15" t="n">
        <v>-0.699452576460788</v>
      </c>
      <c r="S218" s="15" t="s">
        <v>1089</v>
      </c>
      <c r="T218" s="15" t="s">
        <v>1090</v>
      </c>
      <c r="U218" s="15" t="s">
        <v>1214</v>
      </c>
      <c r="V218" s="15" t="n">
        <v>8403</v>
      </c>
      <c r="W218" s="15" t="n">
        <v>5051</v>
      </c>
      <c r="X218" s="15" t="s">
        <v>1380</v>
      </c>
      <c r="Y218" s="15" t="n">
        <v>-0.398905152921576</v>
      </c>
    </row>
    <row r="219" customFormat="false" ht="25" hidden="true" customHeight="false" outlineLevel="0" collapsed="false">
      <c r="A219" s="15" t="s">
        <v>92</v>
      </c>
      <c r="B219" s="15" t="s">
        <v>1257</v>
      </c>
      <c r="C219" s="15" t="n">
        <v>2006</v>
      </c>
      <c r="D219" s="15" t="s">
        <v>1258</v>
      </c>
      <c r="F219" s="15" t="s">
        <v>1140</v>
      </c>
      <c r="H219" s="15" t="s">
        <v>1157</v>
      </c>
      <c r="I219" s="16" t="n">
        <v>4.14</v>
      </c>
      <c r="J219" s="16" t="n">
        <v>2.14</v>
      </c>
      <c r="K219" s="15" t="s">
        <v>1402</v>
      </c>
      <c r="L219" s="16" t="n">
        <v>16692.48</v>
      </c>
      <c r="M219" s="16" t="n">
        <v>5927.8</v>
      </c>
      <c r="N219" s="15" t="s">
        <v>1403</v>
      </c>
      <c r="O219" s="56" t="s">
        <v>1413</v>
      </c>
      <c r="P219" s="15" t="n">
        <v>-0.483091787439613</v>
      </c>
      <c r="Q219" s="15" t="s">
        <v>1089</v>
      </c>
      <c r="R219" s="15" t="n">
        <v>-0.644882006747949</v>
      </c>
      <c r="S219" s="15" t="s">
        <v>1089</v>
      </c>
      <c r="T219" s="15" t="s">
        <v>1090</v>
      </c>
      <c r="U219" s="15" t="s">
        <v>1260</v>
      </c>
      <c r="V219" s="15" t="n">
        <v>4032</v>
      </c>
      <c r="W219" s="15" t="n">
        <v>2770</v>
      </c>
      <c r="X219" s="15" t="s">
        <v>1414</v>
      </c>
      <c r="Y219" s="15" t="n">
        <v>-0.312996031746032</v>
      </c>
    </row>
    <row r="220" customFormat="false" ht="25" hidden="true" customHeight="false" outlineLevel="0" collapsed="false">
      <c r="A220" s="15" t="s">
        <v>92</v>
      </c>
      <c r="B220" s="15" t="s">
        <v>1257</v>
      </c>
      <c r="C220" s="15" t="n">
        <v>2006</v>
      </c>
      <c r="D220" s="15" t="s">
        <v>1258</v>
      </c>
      <c r="F220" s="15" t="s">
        <v>1140</v>
      </c>
      <c r="H220" s="15" t="s">
        <v>1157</v>
      </c>
      <c r="I220" s="16" t="n">
        <v>4.77</v>
      </c>
      <c r="J220" s="16" t="n">
        <v>2.46</v>
      </c>
      <c r="K220" s="15" t="s">
        <v>1402</v>
      </c>
      <c r="L220" s="16" t="n">
        <v>19232.64</v>
      </c>
      <c r="M220" s="16" t="n">
        <v>6814.2</v>
      </c>
      <c r="N220" s="15" t="s">
        <v>1403</v>
      </c>
      <c r="O220" s="56" t="s">
        <v>1415</v>
      </c>
      <c r="P220" s="15" t="n">
        <v>-0.484276729559748</v>
      </c>
      <c r="Q220" s="15" t="s">
        <v>1089</v>
      </c>
      <c r="R220" s="15" t="n">
        <v>-0.645696066686633</v>
      </c>
      <c r="S220" s="15" t="s">
        <v>1089</v>
      </c>
      <c r="T220" s="15" t="s">
        <v>1090</v>
      </c>
      <c r="U220" s="15" t="s">
        <v>1260</v>
      </c>
      <c r="V220" s="15" t="n">
        <v>4032</v>
      </c>
      <c r="W220" s="15" t="n">
        <v>2770</v>
      </c>
      <c r="X220" s="15" t="s">
        <v>1414</v>
      </c>
      <c r="Y220" s="15" t="n">
        <v>-0.312996031746032</v>
      </c>
    </row>
    <row r="221" customFormat="false" ht="25" hidden="true" customHeight="false" outlineLevel="0" collapsed="false">
      <c r="A221" s="15" t="s">
        <v>92</v>
      </c>
      <c r="B221" s="15" t="s">
        <v>1257</v>
      </c>
      <c r="C221" s="15" t="n">
        <v>2006</v>
      </c>
      <c r="D221" s="15" t="s">
        <v>1258</v>
      </c>
      <c r="F221" s="15" t="s">
        <v>1140</v>
      </c>
      <c r="H221" s="15" t="s">
        <v>1153</v>
      </c>
      <c r="I221" s="16" t="n">
        <v>2.48</v>
      </c>
      <c r="J221" s="16" t="n">
        <v>3.61</v>
      </c>
      <c r="K221" s="57" t="s">
        <v>1409</v>
      </c>
      <c r="L221" s="16" t="s">
        <v>628</v>
      </c>
      <c r="M221" s="16" t="s">
        <v>628</v>
      </c>
      <c r="N221" s="57" t="s">
        <v>1410</v>
      </c>
      <c r="O221" s="56" t="s">
        <v>1416</v>
      </c>
      <c r="P221" s="15" t="n">
        <v>0.455645161290323</v>
      </c>
      <c r="Q221" s="15" t="s">
        <v>1089</v>
      </c>
      <c r="R221" s="15" t="s">
        <v>628</v>
      </c>
      <c r="S221" s="15" t="s">
        <v>1089</v>
      </c>
      <c r="T221" s="15" t="s">
        <v>1090</v>
      </c>
      <c r="U221" s="15" t="s">
        <v>1260</v>
      </c>
      <c r="V221" s="15" t="n">
        <v>4032</v>
      </c>
      <c r="W221" s="15" t="n">
        <v>2770</v>
      </c>
      <c r="X221" s="15" t="s">
        <v>1414</v>
      </c>
      <c r="Y221" s="15" t="n">
        <v>-0.312996031746032</v>
      </c>
    </row>
    <row r="222" customFormat="false" ht="13.8" hidden="true" customHeight="false" outlineLevel="0" collapsed="false">
      <c r="A222" s="15" t="s">
        <v>92</v>
      </c>
      <c r="B222" s="15" t="s">
        <v>1417</v>
      </c>
      <c r="C222" s="15" t="n">
        <v>2009</v>
      </c>
      <c r="D222" s="15" t="s">
        <v>91</v>
      </c>
      <c r="F222" s="15" t="s">
        <v>1385</v>
      </c>
      <c r="H222" s="15" t="s">
        <v>1165</v>
      </c>
      <c r="I222" s="16" t="n">
        <v>0.0071</v>
      </c>
      <c r="J222" s="16" t="n">
        <v>0.005</v>
      </c>
      <c r="K222" s="57" t="s">
        <v>1418</v>
      </c>
      <c r="L222" s="16" t="n">
        <v>51.6738</v>
      </c>
      <c r="M222" s="16" t="n">
        <v>23.98</v>
      </c>
      <c r="N222" s="57" t="s">
        <v>1419</v>
      </c>
      <c r="P222" s="15" t="n">
        <v>-0.295774647887324</v>
      </c>
      <c r="Q222" s="15" t="s">
        <v>1164</v>
      </c>
      <c r="R222" s="15" t="n">
        <v>-0.535935038646277</v>
      </c>
      <c r="S222" s="15" t="s">
        <v>1089</v>
      </c>
      <c r="T222" s="15" t="s">
        <v>1090</v>
      </c>
      <c r="U222" s="15" t="s">
        <v>1420</v>
      </c>
      <c r="V222" s="15" t="n">
        <v>7278</v>
      </c>
      <c r="W222" s="15" t="n">
        <v>4796</v>
      </c>
      <c r="X222" s="15" t="s">
        <v>1380</v>
      </c>
      <c r="Y222" s="15" t="n">
        <v>-0.341027754877714</v>
      </c>
    </row>
    <row r="223" customFormat="false" ht="13.8" hidden="true" customHeight="false" outlineLevel="0" collapsed="false">
      <c r="A223" s="15" t="s">
        <v>92</v>
      </c>
      <c r="B223" s="15" t="s">
        <v>1417</v>
      </c>
      <c r="C223" s="15" t="n">
        <v>2009</v>
      </c>
      <c r="D223" s="15" t="s">
        <v>91</v>
      </c>
      <c r="F223" s="15" t="s">
        <v>1385</v>
      </c>
      <c r="H223" s="15" t="s">
        <v>1311</v>
      </c>
      <c r="I223" s="16" t="n">
        <v>0.0076</v>
      </c>
      <c r="J223" s="16" t="n">
        <v>0.0068</v>
      </c>
      <c r="K223" s="15" t="s">
        <v>1421</v>
      </c>
      <c r="L223" s="16" t="n">
        <v>55.3128</v>
      </c>
      <c r="M223" s="16" t="n">
        <v>32.6128</v>
      </c>
      <c r="N223" s="15" t="s">
        <v>1392</v>
      </c>
      <c r="P223" s="15" t="n">
        <v>-0.105263157894737</v>
      </c>
      <c r="Q223" s="15" t="s">
        <v>1164</v>
      </c>
      <c r="R223" s="15" t="n">
        <v>-0.41039325436427</v>
      </c>
      <c r="S223" s="15" t="s">
        <v>1089</v>
      </c>
      <c r="T223" s="15" t="s">
        <v>1090</v>
      </c>
      <c r="U223" s="15" t="s">
        <v>1420</v>
      </c>
      <c r="V223" s="15" t="n">
        <v>7278</v>
      </c>
      <c r="W223" s="15" t="n">
        <v>4796</v>
      </c>
      <c r="X223" s="15" t="s">
        <v>1380</v>
      </c>
      <c r="Y223" s="15" t="n">
        <v>-0.341027754877714</v>
      </c>
    </row>
    <row r="224" customFormat="false" ht="13.8" hidden="false" customHeight="false" outlineLevel="0" collapsed="false">
      <c r="A224" s="15" t="s">
        <v>92</v>
      </c>
      <c r="B224" s="15" t="s">
        <v>1417</v>
      </c>
      <c r="C224" s="15" t="n">
        <v>2009</v>
      </c>
      <c r="D224" s="15" t="s">
        <v>91</v>
      </c>
      <c r="F224" s="15" t="s">
        <v>1385</v>
      </c>
      <c r="H224" s="15" t="s">
        <v>403</v>
      </c>
      <c r="I224" s="16" t="n">
        <v>1.037</v>
      </c>
      <c r="J224" s="16" t="n">
        <v>1.082</v>
      </c>
      <c r="K224" s="57" t="s">
        <v>1387</v>
      </c>
      <c r="L224" s="16" t="n">
        <v>7547.286</v>
      </c>
      <c r="M224" s="16" t="n">
        <v>5189.272</v>
      </c>
      <c r="N224" s="57" t="s">
        <v>1377</v>
      </c>
      <c r="P224" s="15" t="n">
        <v>0.0433944069431054</v>
      </c>
      <c r="Q224" s="15" t="s">
        <v>1164</v>
      </c>
      <c r="R224" s="15" t="n">
        <v>-0.312432045108666</v>
      </c>
      <c r="S224" s="15" t="s">
        <v>1089</v>
      </c>
      <c r="T224" s="15" t="s">
        <v>1090</v>
      </c>
      <c r="U224" s="15" t="s">
        <v>1420</v>
      </c>
      <c r="V224" s="15" t="n">
        <v>7278</v>
      </c>
      <c r="W224" s="15" t="n">
        <v>4796</v>
      </c>
      <c r="X224" s="15" t="s">
        <v>1380</v>
      </c>
      <c r="Y224" s="15" t="n">
        <v>-0.341027754877714</v>
      </c>
    </row>
    <row r="225" customFormat="false" ht="13.8" hidden="true" customHeight="false" outlineLevel="0" collapsed="false">
      <c r="A225" s="15" t="s">
        <v>92</v>
      </c>
      <c r="B225" s="15" t="s">
        <v>1417</v>
      </c>
      <c r="C225" s="15" t="n">
        <v>2009</v>
      </c>
      <c r="D225" s="15" t="s">
        <v>91</v>
      </c>
      <c r="F225" s="15" t="s">
        <v>1385</v>
      </c>
      <c r="H225" s="15" t="s">
        <v>1422</v>
      </c>
      <c r="I225" s="16" t="n">
        <v>0.00183</v>
      </c>
      <c r="J225" s="16" t="n">
        <v>0.00075</v>
      </c>
      <c r="K225" s="15" t="s">
        <v>1423</v>
      </c>
      <c r="L225" s="16" t="n">
        <v>13.31874</v>
      </c>
      <c r="M225" s="16" t="n">
        <v>3.597</v>
      </c>
      <c r="N225" s="15" t="s">
        <v>1424</v>
      </c>
      <c r="P225" s="15" t="n">
        <v>-0.59016393442623</v>
      </c>
      <c r="Q225" s="15" t="s">
        <v>1164</v>
      </c>
      <c r="R225" s="15" t="n">
        <v>-0.729929407736768</v>
      </c>
      <c r="S225" s="15" t="s">
        <v>1089</v>
      </c>
      <c r="T225" s="15" t="s">
        <v>1090</v>
      </c>
      <c r="U225" s="15" t="s">
        <v>1420</v>
      </c>
      <c r="V225" s="15" t="n">
        <v>7278</v>
      </c>
      <c r="W225" s="15" t="n">
        <v>4796</v>
      </c>
      <c r="X225" s="15" t="s">
        <v>1380</v>
      </c>
      <c r="Y225" s="15" t="n">
        <v>-0.341027754877714</v>
      </c>
    </row>
    <row r="226" customFormat="false" ht="13.8" hidden="true" customHeight="false" outlineLevel="0" collapsed="false">
      <c r="A226" s="15" t="s">
        <v>92</v>
      </c>
      <c r="B226" s="15" t="s">
        <v>1417</v>
      </c>
      <c r="C226" s="15" t="n">
        <v>2009</v>
      </c>
      <c r="D226" s="15" t="s">
        <v>91</v>
      </c>
      <c r="F226" s="15" t="s">
        <v>1385</v>
      </c>
      <c r="H226" s="15" t="s">
        <v>1157</v>
      </c>
      <c r="I226" s="16" t="n">
        <v>0.0028</v>
      </c>
      <c r="J226" s="16" t="n">
        <v>0.0026</v>
      </c>
      <c r="K226" s="15" t="s">
        <v>1425</v>
      </c>
      <c r="L226" s="16" t="n">
        <v>20.3784</v>
      </c>
      <c r="M226" s="16" t="n">
        <v>12.4696</v>
      </c>
      <c r="N226" s="15" t="s">
        <v>1426</v>
      </c>
      <c r="P226" s="15" t="n">
        <v>-0.0714285714285715</v>
      </c>
      <c r="Q226" s="15" t="s">
        <v>1164</v>
      </c>
      <c r="R226" s="15" t="n">
        <v>-0.388097200957877</v>
      </c>
      <c r="S226" s="15" t="s">
        <v>1089</v>
      </c>
      <c r="T226" s="15" t="s">
        <v>1090</v>
      </c>
      <c r="U226" s="15" t="s">
        <v>1420</v>
      </c>
      <c r="V226" s="15" t="n">
        <v>7278</v>
      </c>
      <c r="W226" s="15" t="n">
        <v>4796</v>
      </c>
      <c r="X226" s="15" t="s">
        <v>1380</v>
      </c>
      <c r="Y226" s="15" t="n">
        <v>-0.341027754877714</v>
      </c>
    </row>
    <row r="227" customFormat="false" ht="13.8" hidden="true" customHeight="false" outlineLevel="0" collapsed="false">
      <c r="A227" s="15" t="s">
        <v>92</v>
      </c>
      <c r="B227" s="15" t="s">
        <v>1417</v>
      </c>
      <c r="C227" s="15" t="n">
        <v>2009</v>
      </c>
      <c r="D227" s="15" t="s">
        <v>91</v>
      </c>
      <c r="F227" s="15" t="s">
        <v>1385</v>
      </c>
      <c r="H227" s="15" t="s">
        <v>1153</v>
      </c>
      <c r="I227" s="16" t="n">
        <v>1.374</v>
      </c>
      <c r="J227" s="16" t="n">
        <v>2.085</v>
      </c>
      <c r="K227" s="57" t="s">
        <v>1396</v>
      </c>
      <c r="L227" s="16" t="s">
        <v>628</v>
      </c>
      <c r="M227" s="16" t="s">
        <v>628</v>
      </c>
      <c r="N227" s="57" t="s">
        <v>1315</v>
      </c>
      <c r="P227" s="15" t="n">
        <v>0.517467248908297</v>
      </c>
      <c r="Q227" s="15" t="s">
        <v>1324</v>
      </c>
      <c r="R227" s="15" t="s">
        <v>628</v>
      </c>
      <c r="S227" s="15" t="s">
        <v>1089</v>
      </c>
      <c r="T227" s="15" t="s">
        <v>1090</v>
      </c>
      <c r="U227" s="15" t="s">
        <v>1420</v>
      </c>
      <c r="V227" s="15" t="n">
        <v>7278</v>
      </c>
      <c r="W227" s="15" t="n">
        <v>4796</v>
      </c>
      <c r="X227" s="15" t="s">
        <v>1380</v>
      </c>
      <c r="Y227" s="15" t="n">
        <v>-0.341027754877714</v>
      </c>
    </row>
    <row r="228" customFormat="false" ht="13.8" hidden="true" customHeight="false" outlineLevel="0" collapsed="false">
      <c r="A228" s="15" t="s">
        <v>92</v>
      </c>
      <c r="B228" s="15" t="s">
        <v>1417</v>
      </c>
      <c r="C228" s="15" t="n">
        <v>2009</v>
      </c>
      <c r="D228" s="15" t="s">
        <v>91</v>
      </c>
      <c r="F228" s="15" t="s">
        <v>1385</v>
      </c>
      <c r="H228" s="15" t="s">
        <v>1165</v>
      </c>
      <c r="I228" s="16" t="n">
        <v>39.8</v>
      </c>
      <c r="J228" s="16" t="n">
        <v>20.7</v>
      </c>
      <c r="K228" s="57" t="s">
        <v>1427</v>
      </c>
      <c r="L228" s="16" t="n">
        <v>289664.4</v>
      </c>
      <c r="M228" s="16" t="n">
        <v>99277.2</v>
      </c>
      <c r="N228" s="57" t="s">
        <v>1427</v>
      </c>
      <c r="P228" s="15" t="n">
        <v>-0.479899497487437</v>
      </c>
      <c r="Q228" s="15" t="s">
        <v>1140</v>
      </c>
      <c r="R228" s="15" t="n">
        <v>-0.657268204170067</v>
      </c>
      <c r="S228" s="15" t="s">
        <v>1089</v>
      </c>
      <c r="T228" s="15" t="s">
        <v>1090</v>
      </c>
      <c r="U228" s="15" t="s">
        <v>1420</v>
      </c>
      <c r="V228" s="15" t="n">
        <v>7278</v>
      </c>
      <c r="W228" s="15" t="n">
        <v>4796</v>
      </c>
      <c r="X228" s="15" t="s">
        <v>1380</v>
      </c>
      <c r="Y228" s="15" t="n">
        <v>-0.341027754877714</v>
      </c>
    </row>
    <row r="229" customFormat="false" ht="13.8" hidden="true" customHeight="false" outlineLevel="0" collapsed="false">
      <c r="A229" s="15" t="s">
        <v>92</v>
      </c>
      <c r="B229" s="15" t="s">
        <v>1417</v>
      </c>
      <c r="C229" s="15" t="n">
        <v>2009</v>
      </c>
      <c r="D229" s="15" t="s">
        <v>91</v>
      </c>
      <c r="F229" s="15" t="s">
        <v>1385</v>
      </c>
      <c r="H229" s="15" t="s">
        <v>1311</v>
      </c>
      <c r="I229" s="16" t="n">
        <v>48.1</v>
      </c>
      <c r="J229" s="16" t="n">
        <v>31</v>
      </c>
      <c r="K229" s="15" t="s">
        <v>1428</v>
      </c>
      <c r="L229" s="16" t="n">
        <v>350071.8</v>
      </c>
      <c r="M229" s="16" t="n">
        <v>148676</v>
      </c>
      <c r="N229" s="15" t="s">
        <v>1428</v>
      </c>
      <c r="P229" s="15" t="n">
        <v>-0.355509355509356</v>
      </c>
      <c r="Q229" s="15" t="s">
        <v>1140</v>
      </c>
      <c r="R229" s="15" t="n">
        <v>-0.575298553039691</v>
      </c>
      <c r="S229" s="15" t="s">
        <v>1089</v>
      </c>
      <c r="T229" s="15" t="s">
        <v>1090</v>
      </c>
      <c r="U229" s="15" t="s">
        <v>1420</v>
      </c>
      <c r="V229" s="15" t="n">
        <v>7278</v>
      </c>
      <c r="W229" s="15" t="n">
        <v>4796</v>
      </c>
      <c r="X229" s="15" t="s">
        <v>1380</v>
      </c>
      <c r="Y229" s="15" t="n">
        <v>-0.341027754877714</v>
      </c>
    </row>
    <row r="230" customFormat="false" ht="13.8" hidden="false" customHeight="false" outlineLevel="0" collapsed="false">
      <c r="A230" s="15" t="s">
        <v>92</v>
      </c>
      <c r="B230" s="15" t="s">
        <v>1417</v>
      </c>
      <c r="C230" s="15" t="n">
        <v>2009</v>
      </c>
      <c r="D230" s="15" t="s">
        <v>91</v>
      </c>
      <c r="F230" s="15" t="s">
        <v>1385</v>
      </c>
      <c r="H230" s="15" t="s">
        <v>403</v>
      </c>
      <c r="I230" s="16" t="n">
        <v>6271</v>
      </c>
      <c r="J230" s="16" t="n">
        <v>4887</v>
      </c>
      <c r="K230" s="57" t="s">
        <v>1429</v>
      </c>
      <c r="L230" s="16" t="n">
        <v>45640338</v>
      </c>
      <c r="M230" s="16" t="n">
        <v>23438052</v>
      </c>
      <c r="N230" s="57" t="s">
        <v>1429</v>
      </c>
      <c r="P230" s="15" t="n">
        <v>-0.220698453197257</v>
      </c>
      <c r="Q230" s="15" t="s">
        <v>1140</v>
      </c>
      <c r="R230" s="15" t="n">
        <v>-0.486461910076126</v>
      </c>
      <c r="S230" s="15" t="s">
        <v>1089</v>
      </c>
      <c r="T230" s="15" t="s">
        <v>1090</v>
      </c>
      <c r="U230" s="15" t="s">
        <v>1420</v>
      </c>
      <c r="V230" s="15" t="n">
        <v>7278</v>
      </c>
      <c r="W230" s="15" t="n">
        <v>4796</v>
      </c>
      <c r="X230" s="15" t="s">
        <v>1380</v>
      </c>
      <c r="Y230" s="15" t="n">
        <v>-0.341027754877714</v>
      </c>
    </row>
    <row r="231" customFormat="false" ht="13.8" hidden="true" customHeight="false" outlineLevel="0" collapsed="false">
      <c r="A231" s="15" t="s">
        <v>92</v>
      </c>
      <c r="B231" s="15" t="s">
        <v>1417</v>
      </c>
      <c r="C231" s="15" t="n">
        <v>2009</v>
      </c>
      <c r="D231" s="15" t="s">
        <v>91</v>
      </c>
      <c r="F231" s="15" t="s">
        <v>1385</v>
      </c>
      <c r="H231" s="15" t="s">
        <v>1422</v>
      </c>
      <c r="I231" s="16" t="n">
        <v>11.2</v>
      </c>
      <c r="J231" s="16" t="n">
        <v>3.5</v>
      </c>
      <c r="K231" s="15" t="s">
        <v>1430</v>
      </c>
      <c r="L231" s="16" t="n">
        <v>81513.6</v>
      </c>
      <c r="M231" s="16" t="n">
        <v>16786</v>
      </c>
      <c r="N231" s="15" t="s">
        <v>1430</v>
      </c>
      <c r="P231" s="15" t="n">
        <v>-0.6875</v>
      </c>
      <c r="Q231" s="15" t="s">
        <v>1160</v>
      </c>
      <c r="R231" s="15" t="n">
        <v>-0.794071173399286</v>
      </c>
      <c r="S231" s="15" t="s">
        <v>1089</v>
      </c>
      <c r="T231" s="15" t="s">
        <v>1090</v>
      </c>
      <c r="U231" s="15" t="s">
        <v>1420</v>
      </c>
      <c r="V231" s="15" t="n">
        <v>7278</v>
      </c>
      <c r="W231" s="15" t="n">
        <v>4796</v>
      </c>
      <c r="X231" s="15" t="s">
        <v>1380</v>
      </c>
      <c r="Y231" s="15" t="n">
        <v>-0.341027754877714</v>
      </c>
    </row>
    <row r="232" customFormat="false" ht="13.8" hidden="true" customHeight="false" outlineLevel="0" collapsed="false">
      <c r="A232" s="15" t="s">
        <v>92</v>
      </c>
      <c r="B232" s="15" t="s">
        <v>1431</v>
      </c>
      <c r="C232" s="15" t="n">
        <v>2001</v>
      </c>
      <c r="D232" s="15" t="s">
        <v>95</v>
      </c>
      <c r="F232" s="15" t="s">
        <v>1383</v>
      </c>
      <c r="H232" s="15" t="s">
        <v>1157</v>
      </c>
      <c r="I232" s="16" t="n">
        <v>2.7</v>
      </c>
      <c r="J232" s="16" t="n">
        <v>1.2</v>
      </c>
      <c r="K232" s="15" t="s">
        <v>1432</v>
      </c>
      <c r="L232" s="16" t="n">
        <v>19313.1</v>
      </c>
      <c r="M232" s="16" t="n">
        <v>5858.4</v>
      </c>
      <c r="N232" s="15" t="s">
        <v>1403</v>
      </c>
      <c r="O232" s="15" t="s">
        <v>1433</v>
      </c>
      <c r="P232" s="15" t="n">
        <v>-0.555555555555556</v>
      </c>
      <c r="Q232" s="15" t="s">
        <v>1160</v>
      </c>
      <c r="R232" s="15" t="n">
        <v>-0.69666185128229</v>
      </c>
      <c r="S232" s="15" t="s">
        <v>1089</v>
      </c>
      <c r="T232" s="15" t="s">
        <v>1090</v>
      </c>
      <c r="U232" s="15" t="s">
        <v>1434</v>
      </c>
      <c r="V232" s="15" t="n">
        <v>7153</v>
      </c>
      <c r="W232" s="15" t="n">
        <v>4882</v>
      </c>
      <c r="X232" s="15" t="s">
        <v>1380</v>
      </c>
      <c r="Y232" s="15" t="n">
        <v>-0.317489165385153</v>
      </c>
    </row>
    <row r="233" customFormat="false" ht="13.8" hidden="false" customHeight="false" outlineLevel="0" collapsed="false">
      <c r="A233" s="15" t="s">
        <v>92</v>
      </c>
      <c r="B233" s="15" t="s">
        <v>1431</v>
      </c>
      <c r="C233" s="15" t="n">
        <v>2001</v>
      </c>
      <c r="D233" s="15" t="s">
        <v>95</v>
      </c>
      <c r="F233" s="15" t="s">
        <v>1383</v>
      </c>
      <c r="H233" s="15" t="s">
        <v>403</v>
      </c>
      <c r="I233" s="16" t="n">
        <v>1.3</v>
      </c>
      <c r="J233" s="16" t="n">
        <v>1.3</v>
      </c>
      <c r="K233" s="57" t="s">
        <v>1435</v>
      </c>
      <c r="L233" s="16" t="n">
        <v>9298.9</v>
      </c>
      <c r="M233" s="16" t="n">
        <v>6346.6</v>
      </c>
      <c r="N233" s="57" t="s">
        <v>1384</v>
      </c>
      <c r="O233" s="15" t="s">
        <v>1433</v>
      </c>
      <c r="P233" s="15" t="n">
        <v>0</v>
      </c>
      <c r="Q233" s="15" t="s">
        <v>1164</v>
      </c>
      <c r="R233" s="15" t="n">
        <v>-0.317489165385153</v>
      </c>
      <c r="S233" s="15" t="s">
        <v>1089</v>
      </c>
      <c r="T233" s="15" t="s">
        <v>1090</v>
      </c>
      <c r="U233" s="15" t="s">
        <v>1434</v>
      </c>
      <c r="V233" s="15" t="n">
        <v>7153</v>
      </c>
      <c r="W233" s="15" t="n">
        <v>4882</v>
      </c>
      <c r="X233" s="15" t="s">
        <v>1380</v>
      </c>
      <c r="Y233" s="15" t="n">
        <v>-0.317489165385153</v>
      </c>
    </row>
    <row r="234" customFormat="false" ht="13.8" hidden="true" customHeight="false" outlineLevel="0" collapsed="false">
      <c r="A234" s="15" t="s">
        <v>92</v>
      </c>
      <c r="B234" s="15" t="s">
        <v>1431</v>
      </c>
      <c r="C234" s="15" t="n">
        <v>2001</v>
      </c>
      <c r="D234" s="15" t="s">
        <v>95</v>
      </c>
      <c r="F234" s="15" t="s">
        <v>1383</v>
      </c>
      <c r="H234" s="15" t="s">
        <v>1311</v>
      </c>
      <c r="I234" s="16" t="n">
        <v>0.020124</v>
      </c>
      <c r="J234" s="16" t="n">
        <v>0.021917</v>
      </c>
      <c r="K234" s="57" t="s">
        <v>1436</v>
      </c>
      <c r="L234" s="16" t="n">
        <v>143.946972</v>
      </c>
      <c r="M234" s="16" t="n">
        <v>106.998794</v>
      </c>
      <c r="N234" s="57" t="s">
        <v>1437</v>
      </c>
      <c r="O234" s="15" t="s">
        <v>1433</v>
      </c>
      <c r="P234" s="15" t="n">
        <v>0.0890975949115485</v>
      </c>
      <c r="Q234" s="15" t="s">
        <v>1438</v>
      </c>
      <c r="R234" s="15" t="n">
        <v>-0.256679091519897</v>
      </c>
      <c r="S234" s="15" t="s">
        <v>1089</v>
      </c>
      <c r="T234" s="15" t="s">
        <v>1090</v>
      </c>
      <c r="U234" s="15" t="s">
        <v>1434</v>
      </c>
      <c r="V234" s="15" t="n">
        <v>7153</v>
      </c>
      <c r="W234" s="15" t="n">
        <v>4882</v>
      </c>
      <c r="X234" s="15" t="s">
        <v>1380</v>
      </c>
      <c r="Y234" s="15" t="n">
        <v>-0.317489165385153</v>
      </c>
    </row>
    <row r="235" customFormat="false" ht="13.8" hidden="true" customHeight="false" outlineLevel="0" collapsed="false">
      <c r="A235" s="15" t="s">
        <v>92</v>
      </c>
      <c r="B235" s="15" t="s">
        <v>1431</v>
      </c>
      <c r="C235" s="15" t="n">
        <v>2001</v>
      </c>
      <c r="D235" s="15" t="s">
        <v>95</v>
      </c>
      <c r="F235" s="15" t="s">
        <v>1383</v>
      </c>
      <c r="H235" s="15" t="s">
        <v>1165</v>
      </c>
      <c r="I235" s="16" t="n">
        <v>0.0080201</v>
      </c>
      <c r="J235" s="16" t="n">
        <v>0.002765</v>
      </c>
      <c r="K235" s="57" t="s">
        <v>1439</v>
      </c>
      <c r="L235" s="16" t="n">
        <v>57.3677753</v>
      </c>
      <c r="M235" s="16" t="n">
        <v>13.49873</v>
      </c>
      <c r="N235" s="57" t="s">
        <v>1394</v>
      </c>
      <c r="O235" s="15" t="s">
        <v>1433</v>
      </c>
      <c r="P235" s="15" t="n">
        <v>-0.655241206468747</v>
      </c>
      <c r="Q235" s="15" t="s">
        <v>1160</v>
      </c>
      <c r="R235" s="15" t="n">
        <v>-0.764698388086177</v>
      </c>
      <c r="S235" s="15" t="s">
        <v>1089</v>
      </c>
      <c r="T235" s="15" t="s">
        <v>1090</v>
      </c>
      <c r="U235" s="15" t="s">
        <v>1434</v>
      </c>
      <c r="V235" s="15" t="n">
        <v>7153</v>
      </c>
      <c r="W235" s="15" t="n">
        <v>4882</v>
      </c>
      <c r="X235" s="15" t="s">
        <v>1380</v>
      </c>
      <c r="Y235" s="15" t="n">
        <v>-0.317489165385153</v>
      </c>
    </row>
    <row r="236" customFormat="false" ht="13.8" hidden="true" customHeight="false" outlineLevel="0" collapsed="false">
      <c r="A236" s="15" t="s">
        <v>92</v>
      </c>
      <c r="B236" s="15" t="s">
        <v>1431</v>
      </c>
      <c r="C236" s="15" t="n">
        <v>2001</v>
      </c>
      <c r="D236" s="15" t="s">
        <v>95</v>
      </c>
      <c r="F236" s="15" t="s">
        <v>1383</v>
      </c>
      <c r="H236" s="15" t="s">
        <v>1153</v>
      </c>
      <c r="I236" s="16" t="n">
        <v>1.4</v>
      </c>
      <c r="J236" s="16" t="n">
        <v>2</v>
      </c>
      <c r="K236" s="57" t="s">
        <v>1440</v>
      </c>
      <c r="L236" s="16" t="s">
        <v>628</v>
      </c>
      <c r="M236" s="16" t="s">
        <v>628</v>
      </c>
      <c r="N236" s="57" t="s">
        <v>1410</v>
      </c>
      <c r="O236" s="15" t="s">
        <v>1433</v>
      </c>
      <c r="P236" s="15" t="n">
        <v>0.428571428571429</v>
      </c>
      <c r="Q236" s="15" t="s">
        <v>1089</v>
      </c>
      <c r="R236" s="15" t="s">
        <v>628</v>
      </c>
      <c r="S236" s="15" t="s">
        <v>1089</v>
      </c>
      <c r="T236" s="15" t="s">
        <v>1090</v>
      </c>
      <c r="U236" s="15" t="s">
        <v>1434</v>
      </c>
      <c r="V236" s="15" t="n">
        <v>7153</v>
      </c>
      <c r="W236" s="15" t="n">
        <v>4882</v>
      </c>
      <c r="X236" s="15" t="s">
        <v>1380</v>
      </c>
      <c r="Y236" s="15" t="n">
        <v>-0.317489165385153</v>
      </c>
    </row>
    <row r="237" customFormat="false" ht="13.8" hidden="true" customHeight="false" outlineLevel="0" collapsed="false">
      <c r="A237" s="15" t="s">
        <v>92</v>
      </c>
      <c r="B237" s="15" t="s">
        <v>1441</v>
      </c>
      <c r="C237" s="15" t="n">
        <v>2008</v>
      </c>
      <c r="D237" s="15" t="s">
        <v>1442</v>
      </c>
      <c r="F237" s="15" t="s">
        <v>1385</v>
      </c>
      <c r="H237" s="15" t="s">
        <v>1153</v>
      </c>
      <c r="I237" s="16" t="n">
        <v>1.3</v>
      </c>
      <c r="J237" s="16" t="n">
        <v>1.8</v>
      </c>
      <c r="K237" s="57" t="s">
        <v>1396</v>
      </c>
      <c r="L237" s="16" t="s">
        <v>628</v>
      </c>
      <c r="M237" s="16" t="s">
        <v>628</v>
      </c>
      <c r="N237" s="57" t="s">
        <v>1315</v>
      </c>
      <c r="P237" s="15" t="n">
        <v>0.384615384615385</v>
      </c>
      <c r="Q237" s="15" t="s">
        <v>1443</v>
      </c>
      <c r="R237" s="15" t="s">
        <v>628</v>
      </c>
      <c r="S237" s="15" t="s">
        <v>1089</v>
      </c>
      <c r="T237" s="15" t="s">
        <v>1090</v>
      </c>
      <c r="U237" s="15" t="s">
        <v>1444</v>
      </c>
      <c r="V237" s="15" t="n">
        <v>7692</v>
      </c>
      <c r="W237" s="15" t="n">
        <v>5556</v>
      </c>
      <c r="X237" s="15" t="s">
        <v>1380</v>
      </c>
      <c r="Y237" s="15" t="n">
        <v>-0.277691107644306</v>
      </c>
    </row>
    <row r="238" customFormat="false" ht="13.8" hidden="true" customHeight="false" outlineLevel="0" collapsed="false">
      <c r="A238" s="15" t="s">
        <v>92</v>
      </c>
      <c r="B238" s="15" t="s">
        <v>1441</v>
      </c>
      <c r="C238" s="15" t="n">
        <v>2008</v>
      </c>
      <c r="D238" s="15" t="s">
        <v>1442</v>
      </c>
      <c r="F238" s="15" t="s">
        <v>1385</v>
      </c>
      <c r="H238" s="15" t="s">
        <v>1157</v>
      </c>
      <c r="I238" s="16" t="n">
        <v>5</v>
      </c>
      <c r="J238" s="16" t="n">
        <v>3.1</v>
      </c>
      <c r="K238" s="15" t="s">
        <v>1395</v>
      </c>
      <c r="L238" s="16" t="n">
        <v>38460</v>
      </c>
      <c r="M238" s="16" t="n">
        <v>17223.6</v>
      </c>
      <c r="N238" s="15" t="s">
        <v>1216</v>
      </c>
      <c r="P238" s="15" t="n">
        <v>-0.38</v>
      </c>
      <c r="Q238" s="15" t="s">
        <v>1445</v>
      </c>
      <c r="R238" s="15" t="n">
        <v>-0.55216848673947</v>
      </c>
      <c r="S238" s="15" t="s">
        <v>1089</v>
      </c>
      <c r="T238" s="15" t="s">
        <v>1090</v>
      </c>
      <c r="U238" s="15" t="s">
        <v>1444</v>
      </c>
      <c r="V238" s="15" t="n">
        <v>7692</v>
      </c>
      <c r="W238" s="15" t="n">
        <v>5556</v>
      </c>
      <c r="X238" s="15" t="s">
        <v>1380</v>
      </c>
      <c r="Y238" s="15" t="n">
        <v>-0.277691107644306</v>
      </c>
    </row>
    <row r="239" customFormat="false" ht="13.8" hidden="true" customHeight="false" outlineLevel="0" collapsed="false">
      <c r="A239" s="15" t="s">
        <v>92</v>
      </c>
      <c r="B239" s="15" t="s">
        <v>1441</v>
      </c>
      <c r="C239" s="15" t="n">
        <v>2008</v>
      </c>
      <c r="D239" s="15" t="s">
        <v>1442</v>
      </c>
      <c r="F239" s="15" t="s">
        <v>1385</v>
      </c>
      <c r="H239" s="15" t="s">
        <v>1165</v>
      </c>
      <c r="I239" s="16" t="n">
        <v>0.11</v>
      </c>
      <c r="J239" s="16" t="n">
        <v>0.07</v>
      </c>
      <c r="K239" s="57" t="s">
        <v>1446</v>
      </c>
      <c r="L239" s="16" t="n">
        <v>846.12</v>
      </c>
      <c r="M239" s="16" t="n">
        <v>388.92</v>
      </c>
      <c r="N239" s="57" t="s">
        <v>1447</v>
      </c>
      <c r="P239" s="15" t="n">
        <v>-0.363636363636364</v>
      </c>
      <c r="Q239" s="15" t="s">
        <v>1448</v>
      </c>
      <c r="R239" s="15" t="n">
        <v>-0.54034888668274</v>
      </c>
      <c r="S239" s="15" t="s">
        <v>1089</v>
      </c>
      <c r="T239" s="15" t="s">
        <v>1090</v>
      </c>
      <c r="U239" s="15" t="s">
        <v>1444</v>
      </c>
      <c r="V239" s="15" t="n">
        <v>7692</v>
      </c>
      <c r="W239" s="15" t="n">
        <v>5556</v>
      </c>
      <c r="X239" s="15" t="s">
        <v>1380</v>
      </c>
      <c r="Y239" s="15" t="n">
        <v>-0.277691107644306</v>
      </c>
    </row>
    <row r="240" customFormat="false" ht="13.8" hidden="true" customHeight="false" outlineLevel="0" collapsed="false">
      <c r="A240" s="15" t="s">
        <v>92</v>
      </c>
      <c r="B240" s="15" t="s">
        <v>1441</v>
      </c>
      <c r="C240" s="15" t="n">
        <v>2008</v>
      </c>
      <c r="D240" s="15" t="s">
        <v>1442</v>
      </c>
      <c r="F240" s="15" t="s">
        <v>1385</v>
      </c>
      <c r="H240" s="15" t="s">
        <v>1311</v>
      </c>
      <c r="I240" s="16" t="n">
        <v>0.0095</v>
      </c>
      <c r="J240" s="16" t="n">
        <v>0.0108</v>
      </c>
      <c r="K240" s="57" t="s">
        <v>1449</v>
      </c>
      <c r="L240" s="16" t="n">
        <v>73.074</v>
      </c>
      <c r="M240" s="16" t="n">
        <v>60.0048</v>
      </c>
      <c r="N240" s="57" t="s">
        <v>1437</v>
      </c>
      <c r="P240" s="15" t="n">
        <v>0.136842105263158</v>
      </c>
      <c r="Q240" s="15" t="s">
        <v>1164</v>
      </c>
      <c r="R240" s="15" t="n">
        <v>-0.178848838164053</v>
      </c>
      <c r="S240" s="15" t="s">
        <v>1089</v>
      </c>
      <c r="T240" s="15" t="s">
        <v>1090</v>
      </c>
      <c r="U240" s="15" t="s">
        <v>1444</v>
      </c>
      <c r="V240" s="15" t="n">
        <v>7692</v>
      </c>
      <c r="W240" s="15" t="n">
        <v>5556</v>
      </c>
      <c r="X240" s="15" t="s">
        <v>1380</v>
      </c>
      <c r="Y240" s="15" t="n">
        <v>-0.277691107644306</v>
      </c>
    </row>
    <row r="241" customFormat="false" ht="13.8" hidden="false" customHeight="false" outlineLevel="0" collapsed="false">
      <c r="A241" s="15" t="s">
        <v>92</v>
      </c>
      <c r="B241" s="15" t="s">
        <v>1441</v>
      </c>
      <c r="C241" s="15" t="n">
        <v>2008</v>
      </c>
      <c r="D241" s="15" t="s">
        <v>1442</v>
      </c>
      <c r="F241" s="15" t="s">
        <v>1385</v>
      </c>
      <c r="H241" s="15" t="s">
        <v>403</v>
      </c>
      <c r="I241" s="16" t="n">
        <v>1.4</v>
      </c>
      <c r="J241" s="16" t="n">
        <v>1.5</v>
      </c>
      <c r="K241" s="57" t="s">
        <v>1450</v>
      </c>
      <c r="L241" s="16" t="n">
        <v>10768.8</v>
      </c>
      <c r="M241" s="16" t="n">
        <v>8334</v>
      </c>
      <c r="N241" s="57" t="s">
        <v>1384</v>
      </c>
      <c r="P241" s="15" t="n">
        <v>0.0714285714285714</v>
      </c>
      <c r="Q241" s="15" t="s">
        <v>1164</v>
      </c>
      <c r="R241" s="15" t="n">
        <v>-0.226097615333185</v>
      </c>
      <c r="S241" s="15" t="s">
        <v>1089</v>
      </c>
      <c r="T241" s="15" t="s">
        <v>1090</v>
      </c>
      <c r="U241" s="15" t="s">
        <v>1444</v>
      </c>
      <c r="V241" s="15" t="n">
        <v>7692</v>
      </c>
      <c r="W241" s="15" t="n">
        <v>5556</v>
      </c>
      <c r="X241" s="15" t="s">
        <v>1380</v>
      </c>
      <c r="Y241" s="15" t="n">
        <v>-0.277691107644306</v>
      </c>
    </row>
    <row r="242" customFormat="false" ht="13.8" hidden="true" customHeight="false" outlineLevel="0" collapsed="false">
      <c r="A242" s="15" t="s">
        <v>92</v>
      </c>
      <c r="B242" s="15" t="s">
        <v>1451</v>
      </c>
      <c r="C242" s="15" t="n">
        <v>2004</v>
      </c>
      <c r="D242" s="15" t="s">
        <v>131</v>
      </c>
      <c r="F242" s="15" t="s">
        <v>1385</v>
      </c>
      <c r="H242" s="15" t="s">
        <v>1112</v>
      </c>
      <c r="I242" s="16" t="n">
        <v>2.59</v>
      </c>
      <c r="J242" s="16" t="n">
        <v>2.1</v>
      </c>
      <c r="K242" s="15" t="s">
        <v>1395</v>
      </c>
      <c r="L242" s="16" t="n">
        <v>16819.46</v>
      </c>
      <c r="M242" s="16" t="n">
        <v>7167.3</v>
      </c>
      <c r="N242" s="15" t="s">
        <v>1403</v>
      </c>
      <c r="O242" s="15" t="s">
        <v>1452</v>
      </c>
      <c r="P242" s="15" t="n">
        <v>-0.189189189189189</v>
      </c>
      <c r="Q242" s="15" t="s">
        <v>1160</v>
      </c>
      <c r="R242" s="15" t="n">
        <v>-0.573868602202449</v>
      </c>
      <c r="S242" s="15" t="s">
        <v>1089</v>
      </c>
      <c r="T242" s="15" t="s">
        <v>1090</v>
      </c>
      <c r="U242" s="15" t="s">
        <v>1453</v>
      </c>
      <c r="V242" s="15" t="n">
        <v>6494</v>
      </c>
      <c r="W242" s="15" t="n">
        <v>3413</v>
      </c>
      <c r="X242" s="15" t="s">
        <v>1380</v>
      </c>
      <c r="Y242" s="15" t="n">
        <v>-0.474437942716354</v>
      </c>
    </row>
    <row r="243" customFormat="false" ht="13.8" hidden="true" customHeight="false" outlineLevel="0" collapsed="false">
      <c r="A243" s="15" t="s">
        <v>92</v>
      </c>
      <c r="B243" s="15" t="s">
        <v>1451</v>
      </c>
      <c r="C243" s="15" t="n">
        <v>2004</v>
      </c>
      <c r="D243" s="15" t="s">
        <v>131</v>
      </c>
      <c r="F243" s="15" t="s">
        <v>1385</v>
      </c>
      <c r="H243" s="15" t="s">
        <v>1153</v>
      </c>
      <c r="I243" s="16" t="n">
        <v>1.54</v>
      </c>
      <c r="J243" s="16" t="n">
        <v>2.93</v>
      </c>
      <c r="K243" s="57" t="s">
        <v>1454</v>
      </c>
      <c r="L243" s="16" t="s">
        <v>628</v>
      </c>
      <c r="M243" s="16" t="s">
        <v>628</v>
      </c>
      <c r="N243" s="57" t="s">
        <v>1455</v>
      </c>
      <c r="O243" s="15" t="s">
        <v>1452</v>
      </c>
      <c r="P243" s="15" t="n">
        <v>0.902597402597403</v>
      </c>
      <c r="Q243" s="15" t="s">
        <v>1443</v>
      </c>
      <c r="R243" s="15" t="s">
        <v>628</v>
      </c>
      <c r="S243" s="15" t="s">
        <v>1089</v>
      </c>
      <c r="T243" s="15" t="s">
        <v>1090</v>
      </c>
      <c r="U243" s="15" t="s">
        <v>1456</v>
      </c>
      <c r="V243" s="15" t="n">
        <v>6494</v>
      </c>
      <c r="W243" s="15" t="n">
        <v>3413</v>
      </c>
      <c r="X243" s="15" t="s">
        <v>1380</v>
      </c>
      <c r="Y243" s="15" t="n">
        <v>-0.474437942716354</v>
      </c>
    </row>
    <row r="244" customFormat="false" ht="13.8" hidden="false" customHeight="false" outlineLevel="0" collapsed="false">
      <c r="A244" s="15" t="s">
        <v>92</v>
      </c>
      <c r="B244" s="15" t="s">
        <v>1451</v>
      </c>
      <c r="C244" s="15" t="n">
        <v>2004</v>
      </c>
      <c r="D244" s="15" t="s">
        <v>131</v>
      </c>
      <c r="F244" s="15" t="s">
        <v>1385</v>
      </c>
      <c r="H244" s="15" t="s">
        <v>403</v>
      </c>
      <c r="I244" s="16" t="n">
        <v>896.22</v>
      </c>
      <c r="J244" s="16" t="n">
        <v>938.49</v>
      </c>
      <c r="K244" s="57" t="s">
        <v>1457</v>
      </c>
      <c r="L244" s="16" t="n">
        <v>5820052.68</v>
      </c>
      <c r="M244" s="16" t="n">
        <v>3203066.37</v>
      </c>
      <c r="N244" s="57" t="s">
        <v>1401</v>
      </c>
      <c r="O244" s="15" t="s">
        <v>1452</v>
      </c>
      <c r="P244" s="15" t="n">
        <v>0.0471647586530093</v>
      </c>
      <c r="Q244" s="15" t="s">
        <v>1164</v>
      </c>
      <c r="R244" s="15" t="n">
        <v>-0.449649935127391</v>
      </c>
      <c r="S244" s="15" t="s">
        <v>1089</v>
      </c>
      <c r="T244" s="15" t="s">
        <v>1090</v>
      </c>
      <c r="U244" s="15" t="s">
        <v>1456</v>
      </c>
      <c r="V244" s="15" t="n">
        <v>6494</v>
      </c>
      <c r="W244" s="15" t="n">
        <v>3413</v>
      </c>
      <c r="X244" s="15" t="s">
        <v>1380</v>
      </c>
      <c r="Y244" s="15" t="n">
        <v>-0.474437942716354</v>
      </c>
    </row>
    <row r="245" customFormat="false" ht="13.8" hidden="true" customHeight="false" outlineLevel="0" collapsed="false">
      <c r="A245" s="15" t="s">
        <v>92</v>
      </c>
      <c r="B245" s="15" t="s">
        <v>1451</v>
      </c>
      <c r="C245" s="15" t="n">
        <v>2004</v>
      </c>
      <c r="D245" s="15" t="s">
        <v>131</v>
      </c>
      <c r="F245" s="15" t="s">
        <v>1385</v>
      </c>
      <c r="H245" s="15" t="s">
        <v>1313</v>
      </c>
      <c r="I245" s="16" t="n">
        <v>71.3</v>
      </c>
      <c r="J245" s="16" t="n">
        <v>7.8</v>
      </c>
      <c r="K245" s="15" t="s">
        <v>1458</v>
      </c>
      <c r="L245" s="16" t="n">
        <v>463022.2</v>
      </c>
      <c r="M245" s="16" t="n">
        <v>26621.4</v>
      </c>
      <c r="N245" s="15" t="s">
        <v>1459</v>
      </c>
      <c r="O245" s="15" t="s">
        <v>1452</v>
      </c>
      <c r="P245" s="15" t="n">
        <v>-0.890603085553997</v>
      </c>
      <c r="Q245" s="15" t="s">
        <v>1443</v>
      </c>
      <c r="R245" s="15" t="n">
        <v>-0.942505132583276</v>
      </c>
      <c r="S245" s="15" t="s">
        <v>1089</v>
      </c>
      <c r="T245" s="15" t="s">
        <v>1090</v>
      </c>
      <c r="U245" s="15" t="s">
        <v>1456</v>
      </c>
      <c r="V245" s="15" t="n">
        <v>6494</v>
      </c>
      <c r="W245" s="15" t="n">
        <v>3413</v>
      </c>
      <c r="X245" s="15" t="s">
        <v>1380</v>
      </c>
      <c r="Y245" s="15" t="n">
        <v>-0.474437942716354</v>
      </c>
    </row>
    <row r="246" customFormat="false" ht="13.8" hidden="true" customHeight="false" outlineLevel="0" collapsed="false">
      <c r="A246" s="15" t="s">
        <v>92</v>
      </c>
      <c r="B246" s="15" t="s">
        <v>1451</v>
      </c>
      <c r="C246" s="15" t="n">
        <v>2004</v>
      </c>
      <c r="D246" s="15" t="s">
        <v>131</v>
      </c>
      <c r="F246" s="15" t="s">
        <v>1385</v>
      </c>
      <c r="H246" s="15" t="s">
        <v>1165</v>
      </c>
      <c r="I246" s="16" t="n">
        <v>3.722</v>
      </c>
      <c r="J246" s="16" t="n">
        <v>5.03</v>
      </c>
      <c r="K246" s="57" t="s">
        <v>1418</v>
      </c>
      <c r="L246" s="16" t="n">
        <v>24170.668</v>
      </c>
      <c r="M246" s="16" t="n">
        <v>17167.39</v>
      </c>
      <c r="N246" s="57" t="s">
        <v>1310</v>
      </c>
      <c r="O246" s="15" t="s">
        <v>1452</v>
      </c>
      <c r="P246" s="15" t="n">
        <v>0.351423965609887</v>
      </c>
      <c r="Q246" s="15" t="s">
        <v>1164</v>
      </c>
      <c r="R246" s="15" t="n">
        <v>-0.289742840371644</v>
      </c>
      <c r="S246" s="15" t="s">
        <v>1089</v>
      </c>
      <c r="T246" s="15" t="s">
        <v>1090</v>
      </c>
      <c r="U246" s="15" t="s">
        <v>1456</v>
      </c>
      <c r="V246" s="15" t="n">
        <v>6494</v>
      </c>
      <c r="W246" s="15" t="n">
        <v>3413</v>
      </c>
      <c r="X246" s="15" t="s">
        <v>1380</v>
      </c>
      <c r="Y246" s="15" t="n">
        <v>-0.474437942716354</v>
      </c>
    </row>
    <row r="247" customFormat="false" ht="13.8" hidden="true" customHeight="false" outlineLevel="0" collapsed="false">
      <c r="A247" s="15" t="s">
        <v>92</v>
      </c>
      <c r="B247" s="15" t="s">
        <v>1451</v>
      </c>
      <c r="C247" s="15" t="n">
        <v>2004</v>
      </c>
      <c r="D247" s="15" t="s">
        <v>131</v>
      </c>
      <c r="F247" s="15" t="s">
        <v>1385</v>
      </c>
      <c r="H247" s="15" t="s">
        <v>1165</v>
      </c>
      <c r="I247" s="16" t="n">
        <v>24170.668</v>
      </c>
      <c r="J247" s="16" t="n">
        <v>17167.39</v>
      </c>
      <c r="K247" s="57" t="s">
        <v>1460</v>
      </c>
      <c r="L247" s="16" t="n">
        <v>156964317.992</v>
      </c>
      <c r="M247" s="16" t="n">
        <v>58592302.07</v>
      </c>
      <c r="N247" s="57" t="s">
        <v>1460</v>
      </c>
      <c r="O247" s="15" t="s">
        <v>1452</v>
      </c>
      <c r="P247" s="15" t="n">
        <v>-0.289742840371644</v>
      </c>
      <c r="Q247" s="15" t="s">
        <v>1164</v>
      </c>
      <c r="R247" s="15" t="n">
        <v>-0.626715785985282</v>
      </c>
      <c r="S247" s="15" t="s">
        <v>1089</v>
      </c>
      <c r="T247" s="15" t="s">
        <v>1090</v>
      </c>
      <c r="U247" s="15" t="s">
        <v>1456</v>
      </c>
      <c r="V247" s="15" t="n">
        <v>6494</v>
      </c>
      <c r="W247" s="15" t="n">
        <v>3413</v>
      </c>
      <c r="X247" s="15" t="s">
        <v>1380</v>
      </c>
      <c r="Y247" s="15" t="n">
        <v>-0.474437942716354</v>
      </c>
    </row>
    <row r="248" customFormat="false" ht="25" hidden="true" customHeight="false" outlineLevel="0" collapsed="false">
      <c r="A248" s="15" t="s">
        <v>92</v>
      </c>
      <c r="B248" s="15" t="s">
        <v>1451</v>
      </c>
      <c r="C248" s="15" t="n">
        <v>2004</v>
      </c>
      <c r="D248" s="15" t="s">
        <v>131</v>
      </c>
      <c r="F248" s="15" t="s">
        <v>1385</v>
      </c>
      <c r="H248" s="15" t="s">
        <v>1311</v>
      </c>
      <c r="I248" s="16" t="n">
        <v>0.01023</v>
      </c>
      <c r="J248" s="16" t="n">
        <v>0.01163</v>
      </c>
      <c r="K248" s="15" t="s">
        <v>1421</v>
      </c>
      <c r="L248" s="16" t="n">
        <v>66.43362</v>
      </c>
      <c r="M248" s="16" t="n">
        <v>39.69319</v>
      </c>
      <c r="N248" s="15" t="s">
        <v>1392</v>
      </c>
      <c r="O248" s="15" t="s">
        <v>1452</v>
      </c>
      <c r="P248" s="15" t="n">
        <v>0.136852394916911</v>
      </c>
      <c r="Q248" s="56" t="s">
        <v>1461</v>
      </c>
      <c r="R248" s="15" t="n">
        <v>-0.402513516499628</v>
      </c>
      <c r="S248" s="15" t="s">
        <v>1089</v>
      </c>
      <c r="T248" s="15" t="s">
        <v>1090</v>
      </c>
      <c r="U248" s="15" t="s">
        <v>1456</v>
      </c>
      <c r="V248" s="15" t="n">
        <v>6494</v>
      </c>
      <c r="W248" s="15" t="n">
        <v>3413</v>
      </c>
      <c r="X248" s="15" t="s">
        <v>1380</v>
      </c>
      <c r="Y248" s="15" t="n">
        <v>-0.474437942716354</v>
      </c>
    </row>
    <row r="249" customFormat="false" ht="13.8" hidden="true" customHeight="false" outlineLevel="0" collapsed="false">
      <c r="A249" s="15" t="s">
        <v>92</v>
      </c>
      <c r="B249" s="15" t="s">
        <v>1462</v>
      </c>
      <c r="C249" s="15" t="n">
        <v>2000</v>
      </c>
      <c r="D249" s="15" t="s">
        <v>131</v>
      </c>
      <c r="F249" s="15" t="s">
        <v>1385</v>
      </c>
      <c r="H249" s="15" t="s">
        <v>1157</v>
      </c>
      <c r="I249" s="16" t="n">
        <v>3.55</v>
      </c>
      <c r="J249" s="16" t="n">
        <v>2.511</v>
      </c>
      <c r="K249" s="15" t="s">
        <v>1395</v>
      </c>
      <c r="L249" s="16" t="n">
        <v>18442.25</v>
      </c>
      <c r="M249" s="16" t="n">
        <v>7249.257</v>
      </c>
      <c r="N249" s="57" t="s">
        <v>1463</v>
      </c>
      <c r="O249" s="15" t="s">
        <v>628</v>
      </c>
      <c r="P249" s="15" t="n">
        <v>-0.292676056338028</v>
      </c>
      <c r="Q249" s="15" t="s">
        <v>1089</v>
      </c>
      <c r="R249" s="15" t="n">
        <v>-0.606921227073703</v>
      </c>
      <c r="S249" s="15" t="s">
        <v>1089</v>
      </c>
      <c r="T249" s="15" t="s">
        <v>1090</v>
      </c>
      <c r="U249" s="15" t="s">
        <v>1260</v>
      </c>
      <c r="V249" s="15" t="n">
        <v>5195</v>
      </c>
      <c r="W249" s="15" t="n">
        <v>2887</v>
      </c>
      <c r="X249" s="15" t="s">
        <v>1380</v>
      </c>
      <c r="Y249" s="15" t="n">
        <v>-0.444273339749759</v>
      </c>
    </row>
    <row r="250" customFormat="false" ht="13.8" hidden="true" customHeight="false" outlineLevel="0" collapsed="false">
      <c r="A250" s="15" t="s">
        <v>92</v>
      </c>
      <c r="B250" s="15" t="s">
        <v>1462</v>
      </c>
      <c r="C250" s="15" t="n">
        <v>2000</v>
      </c>
      <c r="D250" s="15" t="s">
        <v>131</v>
      </c>
      <c r="F250" s="15" t="s">
        <v>1385</v>
      </c>
      <c r="H250" s="15" t="s">
        <v>1153</v>
      </c>
      <c r="I250" s="16" t="n">
        <v>1.925</v>
      </c>
      <c r="J250" s="16" t="n">
        <v>3.464</v>
      </c>
      <c r="K250" s="57" t="s">
        <v>1396</v>
      </c>
      <c r="L250" s="16" t="s">
        <v>628</v>
      </c>
      <c r="M250" s="16" t="s">
        <v>628</v>
      </c>
      <c r="N250" s="57" t="s">
        <v>1315</v>
      </c>
      <c r="O250" s="15" t="s">
        <v>628</v>
      </c>
      <c r="P250" s="15" t="n">
        <v>0.79948051948052</v>
      </c>
      <c r="Q250" s="15" t="s">
        <v>1089</v>
      </c>
      <c r="R250" s="15" t="s">
        <v>628</v>
      </c>
      <c r="S250" s="15" t="s">
        <v>1089</v>
      </c>
      <c r="T250" s="15" t="s">
        <v>1090</v>
      </c>
      <c r="U250" s="15" t="s">
        <v>1260</v>
      </c>
      <c r="V250" s="15" t="n">
        <v>5195</v>
      </c>
      <c r="W250" s="15" t="n">
        <v>2887</v>
      </c>
      <c r="X250" s="15" t="s">
        <v>1380</v>
      </c>
      <c r="Y250" s="15" t="n">
        <v>-0.444273339749759</v>
      </c>
    </row>
    <row r="251" customFormat="false" ht="13.8" hidden="true" customHeight="false" outlineLevel="0" collapsed="false">
      <c r="A251" s="15" t="s">
        <v>92</v>
      </c>
      <c r="B251" s="15" t="s">
        <v>1462</v>
      </c>
      <c r="C251" s="15" t="n">
        <v>2000</v>
      </c>
      <c r="D251" s="15" t="s">
        <v>131</v>
      </c>
      <c r="F251" s="15" t="s">
        <v>1385</v>
      </c>
      <c r="H251" s="15" t="s">
        <v>1313</v>
      </c>
      <c r="I251" s="16" t="n">
        <v>0.118</v>
      </c>
      <c r="J251" s="16" t="n">
        <v>0.0108</v>
      </c>
      <c r="K251" s="15" t="s">
        <v>1464</v>
      </c>
      <c r="L251" s="16" t="n">
        <v>613.01</v>
      </c>
      <c r="M251" s="16" t="n">
        <v>31.1796</v>
      </c>
      <c r="N251" s="15" t="s">
        <v>1465</v>
      </c>
      <c r="O251" s="15" t="s">
        <v>628</v>
      </c>
      <c r="P251" s="15" t="n">
        <v>-0.908474576271186</v>
      </c>
      <c r="Q251" s="15" t="s">
        <v>1089</v>
      </c>
      <c r="R251" s="15" t="n">
        <v>-0.949136881943198</v>
      </c>
      <c r="S251" s="15" t="s">
        <v>1089</v>
      </c>
      <c r="T251" s="15" t="s">
        <v>1090</v>
      </c>
      <c r="U251" s="15" t="s">
        <v>1260</v>
      </c>
      <c r="V251" s="15" t="n">
        <v>5195</v>
      </c>
      <c r="W251" s="15" t="n">
        <v>2887</v>
      </c>
      <c r="X251" s="15" t="s">
        <v>1380</v>
      </c>
      <c r="Y251" s="15" t="n">
        <v>-0.444273339749759</v>
      </c>
    </row>
    <row r="252" customFormat="false" ht="13.8" hidden="false" customHeight="false" outlineLevel="0" collapsed="false">
      <c r="A252" s="15" t="s">
        <v>92</v>
      </c>
      <c r="B252" s="15" t="s">
        <v>1462</v>
      </c>
      <c r="C252" s="15" t="n">
        <v>2000</v>
      </c>
      <c r="D252" s="15" t="s">
        <v>131</v>
      </c>
      <c r="F252" s="15" t="s">
        <v>1385</v>
      </c>
      <c r="H252" s="15" t="s">
        <v>403</v>
      </c>
      <c r="I252" s="16" t="n">
        <v>1.1</v>
      </c>
      <c r="J252" s="16" t="n">
        <v>0.95</v>
      </c>
      <c r="K252" s="57" t="s">
        <v>1387</v>
      </c>
      <c r="L252" s="16" t="n">
        <v>5714.5</v>
      </c>
      <c r="M252" s="16" t="n">
        <v>2742.65</v>
      </c>
      <c r="N252" s="57" t="s">
        <v>1384</v>
      </c>
      <c r="O252" s="15" t="s">
        <v>628</v>
      </c>
      <c r="P252" s="15" t="n">
        <v>-0.136363636363636</v>
      </c>
      <c r="Q252" s="15" t="s">
        <v>1089</v>
      </c>
      <c r="R252" s="15" t="n">
        <v>-0.520054247965701</v>
      </c>
      <c r="S252" s="15" t="s">
        <v>1089</v>
      </c>
      <c r="T252" s="15" t="s">
        <v>1090</v>
      </c>
      <c r="U252" s="15" t="s">
        <v>1260</v>
      </c>
      <c r="V252" s="15" t="n">
        <v>5195</v>
      </c>
      <c r="W252" s="15" t="n">
        <v>2887</v>
      </c>
      <c r="X252" s="15" t="s">
        <v>1380</v>
      </c>
      <c r="Y252" s="15" t="n">
        <v>-0.444273339749759</v>
      </c>
    </row>
    <row r="253" customFormat="false" ht="13.8" hidden="true" customHeight="false" outlineLevel="0" collapsed="false">
      <c r="A253" s="15" t="s">
        <v>92</v>
      </c>
      <c r="B253" s="15" t="s">
        <v>1462</v>
      </c>
      <c r="C253" s="15" t="n">
        <v>2000</v>
      </c>
      <c r="D253" s="15" t="s">
        <v>131</v>
      </c>
      <c r="F253" s="15" t="s">
        <v>1385</v>
      </c>
      <c r="H253" s="15" t="s">
        <v>1311</v>
      </c>
      <c r="I253" s="16" t="n">
        <v>0.01798</v>
      </c>
      <c r="J253" s="16" t="n">
        <v>0.01581</v>
      </c>
      <c r="K253" s="15" t="s">
        <v>1421</v>
      </c>
      <c r="L253" s="16" t="n">
        <v>93.4061</v>
      </c>
      <c r="M253" s="16" t="n">
        <v>45.64347</v>
      </c>
      <c r="N253" s="15" t="s">
        <v>1392</v>
      </c>
      <c r="O253" s="15" t="s">
        <v>628</v>
      </c>
      <c r="P253" s="15" t="n">
        <v>-0.120689655172414</v>
      </c>
      <c r="Q253" s="15" t="s">
        <v>1089</v>
      </c>
      <c r="R253" s="15" t="n">
        <v>-0.511343798745478</v>
      </c>
      <c r="S253" s="15" t="s">
        <v>1089</v>
      </c>
      <c r="T253" s="15" t="s">
        <v>1090</v>
      </c>
      <c r="U253" s="15" t="s">
        <v>1260</v>
      </c>
      <c r="V253" s="15" t="n">
        <v>5195</v>
      </c>
      <c r="W253" s="15" t="n">
        <v>2887</v>
      </c>
      <c r="X253" s="15" t="s">
        <v>1380</v>
      </c>
      <c r="Y253" s="15" t="n">
        <v>-0.444273339749759</v>
      </c>
    </row>
    <row r="254" customFormat="false" ht="13.8" hidden="true" customHeight="false" outlineLevel="0" collapsed="false">
      <c r="A254" s="15" t="s">
        <v>92</v>
      </c>
      <c r="B254" s="15" t="s">
        <v>1462</v>
      </c>
      <c r="C254" s="15" t="n">
        <v>2000</v>
      </c>
      <c r="D254" s="15" t="s">
        <v>131</v>
      </c>
      <c r="F254" s="15" t="s">
        <v>1385</v>
      </c>
      <c r="H254" s="15" t="s">
        <v>1165</v>
      </c>
      <c r="I254" s="16" t="n">
        <v>0.275</v>
      </c>
      <c r="J254" s="16" t="n">
        <v>0.3</v>
      </c>
      <c r="K254" s="15" t="s">
        <v>1466</v>
      </c>
      <c r="L254" s="16" t="n">
        <v>1428.625</v>
      </c>
      <c r="M254" s="16" t="n">
        <v>866.1</v>
      </c>
      <c r="N254" s="15" t="s">
        <v>1467</v>
      </c>
      <c r="O254" s="15" t="s">
        <v>628</v>
      </c>
      <c r="P254" s="15" t="n">
        <v>0.0909090909090908</v>
      </c>
      <c r="Q254" s="15" t="s">
        <v>1089</v>
      </c>
      <c r="R254" s="15" t="n">
        <v>-0.393752734272465</v>
      </c>
      <c r="S254" s="15" t="s">
        <v>1089</v>
      </c>
      <c r="T254" s="15" t="s">
        <v>1090</v>
      </c>
      <c r="U254" s="15" t="s">
        <v>1260</v>
      </c>
      <c r="V254" s="15" t="n">
        <v>5195</v>
      </c>
      <c r="W254" s="15" t="n">
        <v>2887</v>
      </c>
      <c r="X254" s="15" t="s">
        <v>1380</v>
      </c>
      <c r="Y254" s="15" t="n">
        <v>-0.444273339749759</v>
      </c>
    </row>
    <row r="255" customFormat="false" ht="13.8" hidden="false" customHeight="false" outlineLevel="0" collapsed="false">
      <c r="A255" s="15" t="s">
        <v>92</v>
      </c>
      <c r="B255" s="15" t="s">
        <v>1468</v>
      </c>
      <c r="C255" s="15" t="n">
        <v>2012</v>
      </c>
      <c r="D255" s="15" t="s">
        <v>131</v>
      </c>
      <c r="F255" s="15" t="s">
        <v>1385</v>
      </c>
      <c r="H255" s="15" t="s">
        <v>403</v>
      </c>
      <c r="I255" s="16" t="n">
        <v>1.07</v>
      </c>
      <c r="J255" s="16" t="n">
        <v>1.13</v>
      </c>
      <c r="K255" s="57" t="s">
        <v>1387</v>
      </c>
      <c r="L255" s="16" t="n">
        <v>6948.58</v>
      </c>
      <c r="M255" s="16" t="n">
        <v>3856.69</v>
      </c>
      <c r="N255" s="57" t="s">
        <v>1401</v>
      </c>
      <c r="O255" s="15" t="s">
        <v>1452</v>
      </c>
      <c r="P255" s="15" t="n">
        <v>0.05607476635514</v>
      </c>
      <c r="Q255" s="15" t="s">
        <v>1469</v>
      </c>
      <c r="R255" s="15" t="n">
        <v>-0.444967173149046</v>
      </c>
      <c r="S255" s="15" t="s">
        <v>1089</v>
      </c>
      <c r="T255" s="15" t="s">
        <v>1090</v>
      </c>
      <c r="U255" s="15" t="s">
        <v>1470</v>
      </c>
      <c r="V255" s="15" t="n">
        <v>6494</v>
      </c>
      <c r="W255" s="15" t="n">
        <v>3413</v>
      </c>
      <c r="X255" s="15" t="s">
        <v>1380</v>
      </c>
      <c r="Y255" s="15" t="n">
        <v>-0.474437942716354</v>
      </c>
    </row>
    <row r="256" customFormat="false" ht="13.8" hidden="false" customHeight="false" outlineLevel="0" collapsed="false">
      <c r="A256" s="15" t="s">
        <v>92</v>
      </c>
      <c r="B256" s="15" t="s">
        <v>1468</v>
      </c>
      <c r="C256" s="15" t="n">
        <v>2012</v>
      </c>
      <c r="D256" s="15" t="s">
        <v>131</v>
      </c>
      <c r="F256" s="15" t="s">
        <v>1385</v>
      </c>
      <c r="H256" s="15" t="s">
        <v>403</v>
      </c>
      <c r="I256" s="16" t="n">
        <v>1.42</v>
      </c>
      <c r="J256" s="16" t="n">
        <v>1.23</v>
      </c>
      <c r="K256" s="57" t="s">
        <v>1387</v>
      </c>
      <c r="L256" s="16" t="n">
        <v>9221.48</v>
      </c>
      <c r="M256" s="16" t="n">
        <v>4197.99</v>
      </c>
      <c r="N256" s="57" t="s">
        <v>1401</v>
      </c>
      <c r="O256" s="15" t="s">
        <v>1452</v>
      </c>
      <c r="P256" s="15" t="n">
        <v>-0.133802816901408</v>
      </c>
      <c r="Q256" s="15" t="s">
        <v>1469</v>
      </c>
      <c r="R256" s="15" t="n">
        <v>-0.544759626437405</v>
      </c>
      <c r="S256" s="15" t="s">
        <v>1089</v>
      </c>
      <c r="T256" s="15" t="s">
        <v>1090</v>
      </c>
      <c r="U256" s="15" t="s">
        <v>1470</v>
      </c>
      <c r="V256" s="15" t="n">
        <v>6494</v>
      </c>
      <c r="W256" s="15" t="n">
        <v>3413</v>
      </c>
      <c r="X256" s="15" t="s">
        <v>1380</v>
      </c>
      <c r="Y256" s="15" t="n">
        <v>-0.474437942716354</v>
      </c>
    </row>
    <row r="257" customFormat="false" ht="13.8" hidden="false" customHeight="false" outlineLevel="0" collapsed="false">
      <c r="A257" s="15" t="s">
        <v>92</v>
      </c>
      <c r="B257" s="15" t="s">
        <v>1468</v>
      </c>
      <c r="C257" s="15" t="n">
        <v>2012</v>
      </c>
      <c r="D257" s="15" t="s">
        <v>131</v>
      </c>
      <c r="F257" s="15" t="s">
        <v>1385</v>
      </c>
      <c r="H257" s="15" t="s">
        <v>403</v>
      </c>
      <c r="I257" s="16" t="n">
        <v>1.21</v>
      </c>
      <c r="J257" s="16" t="n">
        <v>1.17</v>
      </c>
      <c r="K257" s="57" t="s">
        <v>1387</v>
      </c>
      <c r="L257" s="16" t="n">
        <v>7857.74</v>
      </c>
      <c r="M257" s="16" t="n">
        <v>3993.21</v>
      </c>
      <c r="N257" s="57" t="s">
        <v>1401</v>
      </c>
      <c r="O257" s="15" t="s">
        <v>1452</v>
      </c>
      <c r="P257" s="15" t="n">
        <v>-0.0330578512396694</v>
      </c>
      <c r="Q257" s="15" t="s">
        <v>1469</v>
      </c>
      <c r="R257" s="15" t="n">
        <v>-0.491811895023251</v>
      </c>
      <c r="S257" s="15" t="s">
        <v>1089</v>
      </c>
      <c r="T257" s="15" t="s">
        <v>1090</v>
      </c>
      <c r="U257" s="15" t="s">
        <v>1470</v>
      </c>
      <c r="V257" s="15" t="n">
        <v>6494</v>
      </c>
      <c r="W257" s="15" t="n">
        <v>3413</v>
      </c>
      <c r="X257" s="15" t="s">
        <v>1380</v>
      </c>
      <c r="Y257" s="15" t="n">
        <v>-0.474437942716354</v>
      </c>
    </row>
    <row r="258" customFormat="false" ht="13.8" hidden="false" customHeight="false" outlineLevel="0" collapsed="false">
      <c r="A258" s="15" t="s">
        <v>92</v>
      </c>
      <c r="B258" s="15" t="s">
        <v>1468</v>
      </c>
      <c r="C258" s="15" t="n">
        <v>2012</v>
      </c>
      <c r="D258" s="15" t="s">
        <v>131</v>
      </c>
      <c r="F258" s="15" t="s">
        <v>1385</v>
      </c>
      <c r="H258" s="15" t="s">
        <v>403</v>
      </c>
      <c r="I258" s="16" t="n">
        <v>1.52</v>
      </c>
      <c r="J258" s="16" t="n">
        <v>1.26</v>
      </c>
      <c r="K258" s="57" t="s">
        <v>1387</v>
      </c>
      <c r="L258" s="16" t="n">
        <v>9870.88</v>
      </c>
      <c r="M258" s="16" t="n">
        <v>4300.38</v>
      </c>
      <c r="N258" s="57" t="s">
        <v>1400</v>
      </c>
      <c r="O258" s="15" t="s">
        <v>1452</v>
      </c>
      <c r="P258" s="15" t="n">
        <v>-0.171052631578947</v>
      </c>
      <c r="Q258" s="15" t="s">
        <v>1469</v>
      </c>
      <c r="R258" s="15" t="n">
        <v>-0.564336715672767</v>
      </c>
      <c r="S258" s="15" t="s">
        <v>1089</v>
      </c>
      <c r="T258" s="15" t="s">
        <v>1090</v>
      </c>
      <c r="U258" s="15" t="s">
        <v>1470</v>
      </c>
      <c r="V258" s="15" t="n">
        <v>6494</v>
      </c>
      <c r="W258" s="15" t="n">
        <v>3413</v>
      </c>
      <c r="X258" s="15" t="s">
        <v>1380</v>
      </c>
      <c r="Y258" s="15" t="n">
        <v>-0.474437942716354</v>
      </c>
    </row>
    <row r="259" customFormat="false" ht="13.8" hidden="false" customHeight="false" outlineLevel="0" collapsed="false">
      <c r="A259" s="15" t="s">
        <v>92</v>
      </c>
      <c r="B259" s="15" t="s">
        <v>1468</v>
      </c>
      <c r="C259" s="15" t="n">
        <v>2012</v>
      </c>
      <c r="D259" s="15" t="s">
        <v>131</v>
      </c>
      <c r="F259" s="15" t="s">
        <v>1385</v>
      </c>
      <c r="H259" s="15" t="s">
        <v>403</v>
      </c>
      <c r="I259" s="16" t="n">
        <v>1.32</v>
      </c>
      <c r="J259" s="16" t="n">
        <v>1.6</v>
      </c>
      <c r="K259" s="57" t="s">
        <v>1387</v>
      </c>
      <c r="L259" s="16" t="n">
        <v>8572.08</v>
      </c>
      <c r="M259" s="16" t="n">
        <v>5460.8</v>
      </c>
      <c r="N259" s="57" t="s">
        <v>1401</v>
      </c>
      <c r="O259" s="15" t="s">
        <v>1452</v>
      </c>
      <c r="P259" s="15" t="n">
        <v>0.212121212121212</v>
      </c>
      <c r="Q259" s="15" t="s">
        <v>1469</v>
      </c>
      <c r="R259" s="15" t="n">
        <v>-0.362955082080429</v>
      </c>
      <c r="S259" s="15" t="s">
        <v>1089</v>
      </c>
      <c r="T259" s="15" t="s">
        <v>1090</v>
      </c>
      <c r="U259" s="15" t="s">
        <v>1470</v>
      </c>
      <c r="V259" s="15" t="n">
        <v>6494</v>
      </c>
      <c r="W259" s="15" t="n">
        <v>3413</v>
      </c>
      <c r="X259" s="15" t="s">
        <v>1380</v>
      </c>
      <c r="Y259" s="15" t="n">
        <v>-0.474437942716354</v>
      </c>
    </row>
    <row r="260" customFormat="false" ht="13.8" hidden="false" customHeight="false" outlineLevel="0" collapsed="false">
      <c r="A260" s="15" t="s">
        <v>92</v>
      </c>
      <c r="B260" s="15" t="s">
        <v>1468</v>
      </c>
      <c r="C260" s="15" t="n">
        <v>2012</v>
      </c>
      <c r="D260" s="15" t="s">
        <v>131</v>
      </c>
      <c r="F260" s="15" t="s">
        <v>1385</v>
      </c>
      <c r="H260" s="15" t="s">
        <v>403</v>
      </c>
      <c r="I260" s="16" t="n">
        <v>2.07</v>
      </c>
      <c r="J260" s="16" t="n">
        <v>2.91</v>
      </c>
      <c r="K260" s="57" t="s">
        <v>1387</v>
      </c>
      <c r="L260" s="16" t="n">
        <v>13442.58</v>
      </c>
      <c r="M260" s="16" t="n">
        <v>9931.83</v>
      </c>
      <c r="N260" s="57" t="s">
        <v>1401</v>
      </c>
      <c r="O260" s="15" t="s">
        <v>1452</v>
      </c>
      <c r="P260" s="15" t="n">
        <v>0.405797101449276</v>
      </c>
      <c r="Q260" s="15" t="s">
        <v>1469</v>
      </c>
      <c r="R260" s="15" t="n">
        <v>-0.261166383238932</v>
      </c>
      <c r="S260" s="15" t="s">
        <v>1089</v>
      </c>
      <c r="T260" s="15" t="s">
        <v>1090</v>
      </c>
      <c r="U260" s="15" t="s">
        <v>1470</v>
      </c>
      <c r="V260" s="15" t="n">
        <v>6494</v>
      </c>
      <c r="W260" s="15" t="n">
        <v>3413</v>
      </c>
      <c r="X260" s="15" t="s">
        <v>1380</v>
      </c>
      <c r="Y260" s="15" t="n">
        <v>-0.474437942716354</v>
      </c>
    </row>
    <row r="261" customFormat="false" ht="13.8" hidden="false" customHeight="false" outlineLevel="0" collapsed="false">
      <c r="A261" s="15" t="s">
        <v>92</v>
      </c>
      <c r="B261" s="15" t="s">
        <v>1468</v>
      </c>
      <c r="C261" s="15" t="n">
        <v>2012</v>
      </c>
      <c r="D261" s="15" t="s">
        <v>131</v>
      </c>
      <c r="F261" s="15" t="s">
        <v>1385</v>
      </c>
      <c r="H261" s="15" t="s">
        <v>403</v>
      </c>
      <c r="I261" s="16" t="n">
        <v>0.52</v>
      </c>
      <c r="J261" s="16" t="n">
        <v>0.49</v>
      </c>
      <c r="K261" s="57" t="s">
        <v>1387</v>
      </c>
      <c r="L261" s="16" t="n">
        <v>3376.88</v>
      </c>
      <c r="M261" s="16" t="n">
        <v>1672.37</v>
      </c>
      <c r="N261" s="57" t="s">
        <v>1401</v>
      </c>
      <c r="O261" s="15" t="s">
        <v>1452</v>
      </c>
      <c r="P261" s="15" t="n">
        <v>-0.0576923076923077</v>
      </c>
      <c r="Q261" s="15" t="s">
        <v>1469</v>
      </c>
      <c r="R261" s="15" t="n">
        <v>-0.504758830636564</v>
      </c>
      <c r="S261" s="15" t="s">
        <v>1089</v>
      </c>
      <c r="T261" s="15" t="s">
        <v>1090</v>
      </c>
      <c r="U261" s="15" t="s">
        <v>1470</v>
      </c>
      <c r="V261" s="15" t="n">
        <v>6494</v>
      </c>
      <c r="W261" s="15" t="n">
        <v>3413</v>
      </c>
      <c r="X261" s="15" t="s">
        <v>1380</v>
      </c>
      <c r="Y261" s="15" t="n">
        <v>-0.474437942716354</v>
      </c>
    </row>
    <row r="262" customFormat="false" ht="13.8" hidden="false" customHeight="false" outlineLevel="0" collapsed="false">
      <c r="A262" s="15" t="s">
        <v>92</v>
      </c>
      <c r="B262" s="15" t="s">
        <v>1468</v>
      </c>
      <c r="C262" s="15" t="n">
        <v>2012</v>
      </c>
      <c r="D262" s="15" t="s">
        <v>131</v>
      </c>
      <c r="F262" s="15" t="s">
        <v>1385</v>
      </c>
      <c r="H262" s="15" t="s">
        <v>403</v>
      </c>
      <c r="I262" s="16" t="n">
        <v>0.85</v>
      </c>
      <c r="J262" s="16" t="n">
        <v>0.56</v>
      </c>
      <c r="K262" s="57" t="s">
        <v>1387</v>
      </c>
      <c r="L262" s="16" t="n">
        <v>5519.9</v>
      </c>
      <c r="M262" s="16" t="n">
        <v>1911.28</v>
      </c>
      <c r="N262" s="57" t="s">
        <v>1401</v>
      </c>
      <c r="O262" s="15" t="s">
        <v>1452</v>
      </c>
      <c r="P262" s="15" t="n">
        <v>-0.341176470588235</v>
      </c>
      <c r="Q262" s="15" t="s">
        <v>1469</v>
      </c>
      <c r="R262" s="15" t="n">
        <v>-0.65374735049548</v>
      </c>
      <c r="S262" s="15" t="s">
        <v>1089</v>
      </c>
      <c r="T262" s="15" t="s">
        <v>1090</v>
      </c>
      <c r="U262" s="15" t="s">
        <v>1470</v>
      </c>
      <c r="V262" s="15" t="n">
        <v>6494</v>
      </c>
      <c r="W262" s="15" t="n">
        <v>3413</v>
      </c>
      <c r="X262" s="15" t="s">
        <v>1380</v>
      </c>
      <c r="Y262" s="15" t="n">
        <v>-0.474437942716354</v>
      </c>
    </row>
    <row r="263" customFormat="false" ht="13.8" hidden="false" customHeight="false" outlineLevel="0" collapsed="false">
      <c r="A263" s="15" t="s">
        <v>92</v>
      </c>
      <c r="B263" s="15" t="s">
        <v>1468</v>
      </c>
      <c r="C263" s="15" t="n">
        <v>2012</v>
      </c>
      <c r="D263" s="15" t="s">
        <v>131</v>
      </c>
      <c r="F263" s="15" t="s">
        <v>1385</v>
      </c>
      <c r="H263" s="15" t="s">
        <v>403</v>
      </c>
      <c r="I263" s="16" t="n">
        <v>0.65</v>
      </c>
      <c r="J263" s="16" t="n">
        <v>0.52</v>
      </c>
      <c r="K263" s="57" t="s">
        <v>1387</v>
      </c>
      <c r="L263" s="16" t="n">
        <v>4221.1</v>
      </c>
      <c r="M263" s="16" t="n">
        <v>1774.76</v>
      </c>
      <c r="N263" s="57" t="s">
        <v>1401</v>
      </c>
      <c r="O263" s="15" t="s">
        <v>1452</v>
      </c>
      <c r="P263" s="15" t="n">
        <v>-0.2</v>
      </c>
      <c r="Q263" s="15" t="s">
        <v>1469</v>
      </c>
      <c r="R263" s="15" t="n">
        <v>-0.579550354173083</v>
      </c>
      <c r="S263" s="15" t="s">
        <v>1089</v>
      </c>
      <c r="T263" s="15" t="s">
        <v>1090</v>
      </c>
      <c r="U263" s="15" t="s">
        <v>1470</v>
      </c>
      <c r="V263" s="15" t="n">
        <v>6494</v>
      </c>
      <c r="W263" s="15" t="n">
        <v>3413</v>
      </c>
      <c r="X263" s="15" t="s">
        <v>1380</v>
      </c>
      <c r="Y263" s="15" t="n">
        <v>-0.474437942716354</v>
      </c>
    </row>
    <row r="264" customFormat="false" ht="13.8" hidden="false" customHeight="false" outlineLevel="0" collapsed="false">
      <c r="A264" s="15" t="s">
        <v>92</v>
      </c>
      <c r="B264" s="15" t="s">
        <v>1468</v>
      </c>
      <c r="C264" s="15" t="n">
        <v>2012</v>
      </c>
      <c r="D264" s="15" t="s">
        <v>131</v>
      </c>
      <c r="F264" s="15" t="s">
        <v>1385</v>
      </c>
      <c r="H264" s="15" t="s">
        <v>403</v>
      </c>
      <c r="I264" s="16" t="n">
        <v>0.95</v>
      </c>
      <c r="J264" s="16" t="n">
        <v>0.59</v>
      </c>
      <c r="K264" s="57" t="s">
        <v>1387</v>
      </c>
      <c r="L264" s="16" t="n">
        <v>6169.3</v>
      </c>
      <c r="M264" s="16" t="n">
        <v>2013.67</v>
      </c>
      <c r="N264" s="57" t="s">
        <v>1400</v>
      </c>
      <c r="O264" s="15" t="s">
        <v>1452</v>
      </c>
      <c r="P264" s="15" t="n">
        <v>-0.378947368421053</v>
      </c>
      <c r="Q264" s="15" t="s">
        <v>1469</v>
      </c>
      <c r="R264" s="15" t="n">
        <v>-0.673598301265946</v>
      </c>
      <c r="S264" s="15" t="s">
        <v>1089</v>
      </c>
      <c r="T264" s="15" t="s">
        <v>1090</v>
      </c>
      <c r="U264" s="15" t="s">
        <v>1470</v>
      </c>
      <c r="V264" s="15" t="n">
        <v>6494</v>
      </c>
      <c r="W264" s="15" t="n">
        <v>3413</v>
      </c>
      <c r="X264" s="15" t="s">
        <v>1380</v>
      </c>
      <c r="Y264" s="15" t="n">
        <v>-0.474437942716354</v>
      </c>
    </row>
    <row r="265" customFormat="false" ht="13.8" hidden="false" customHeight="false" outlineLevel="0" collapsed="false">
      <c r="A265" s="15" t="s">
        <v>92</v>
      </c>
      <c r="B265" s="15" t="s">
        <v>1468</v>
      </c>
      <c r="C265" s="15" t="n">
        <v>2012</v>
      </c>
      <c r="D265" s="15" t="s">
        <v>131</v>
      </c>
      <c r="F265" s="15" t="s">
        <v>1385</v>
      </c>
      <c r="H265" s="15" t="s">
        <v>403</v>
      </c>
      <c r="I265" s="16" t="n">
        <v>0.66</v>
      </c>
      <c r="J265" s="16" t="n">
        <v>0.83</v>
      </c>
      <c r="K265" s="57" t="s">
        <v>1387</v>
      </c>
      <c r="L265" s="16" t="n">
        <v>4286.04</v>
      </c>
      <c r="M265" s="16" t="n">
        <v>2832.79</v>
      </c>
      <c r="N265" s="57" t="s">
        <v>1401</v>
      </c>
      <c r="O265" s="15" t="s">
        <v>1452</v>
      </c>
      <c r="P265" s="15" t="n">
        <v>0.257575757575757</v>
      </c>
      <c r="Q265" s="15" t="s">
        <v>1469</v>
      </c>
      <c r="R265" s="15" t="n">
        <v>-0.339065897658445</v>
      </c>
      <c r="S265" s="15" t="s">
        <v>1089</v>
      </c>
      <c r="T265" s="15" t="s">
        <v>1090</v>
      </c>
      <c r="U265" s="15" t="s">
        <v>1470</v>
      </c>
      <c r="V265" s="15" t="n">
        <v>6494</v>
      </c>
      <c r="W265" s="15" t="n">
        <v>3413</v>
      </c>
      <c r="X265" s="15" t="s">
        <v>1380</v>
      </c>
      <c r="Y265" s="15" t="n">
        <v>-0.474437942716354</v>
      </c>
    </row>
    <row r="266" customFormat="false" ht="13.8" hidden="false" customHeight="false" outlineLevel="0" collapsed="false">
      <c r="A266" s="15" t="s">
        <v>92</v>
      </c>
      <c r="B266" s="15" t="s">
        <v>1468</v>
      </c>
      <c r="C266" s="15" t="n">
        <v>2012</v>
      </c>
      <c r="D266" s="15" t="s">
        <v>131</v>
      </c>
      <c r="F266" s="15" t="s">
        <v>1385</v>
      </c>
      <c r="H266" s="15" t="s">
        <v>403</v>
      </c>
      <c r="I266" s="16" t="n">
        <v>1.38</v>
      </c>
      <c r="J266" s="16" t="n">
        <v>2.11</v>
      </c>
      <c r="K266" s="57" t="s">
        <v>1387</v>
      </c>
      <c r="L266" s="16" t="n">
        <v>8961.72</v>
      </c>
      <c r="M266" s="16" t="n">
        <v>7201.43</v>
      </c>
      <c r="N266" s="57" t="s">
        <v>1400</v>
      </c>
      <c r="O266" s="15" t="s">
        <v>1452</v>
      </c>
      <c r="P266" s="15" t="n">
        <v>0.528985507246377</v>
      </c>
      <c r="Q266" s="15" t="s">
        <v>1469</v>
      </c>
      <c r="R266" s="15" t="n">
        <v>-0.196423231254715</v>
      </c>
      <c r="S266" s="15" t="s">
        <v>1089</v>
      </c>
      <c r="T266" s="15" t="s">
        <v>1090</v>
      </c>
      <c r="U266" s="15" t="s">
        <v>1470</v>
      </c>
      <c r="V266" s="15" t="n">
        <v>6494</v>
      </c>
      <c r="W266" s="15" t="n">
        <v>3413</v>
      </c>
      <c r="X266" s="15" t="s">
        <v>1380</v>
      </c>
      <c r="Y266" s="15" t="n">
        <v>-0.474437942716354</v>
      </c>
    </row>
    <row r="267" customFormat="false" ht="13.8" hidden="true" customHeight="false" outlineLevel="0" collapsed="false">
      <c r="A267" s="15" t="s">
        <v>1471</v>
      </c>
      <c r="B267" s="15" t="s">
        <v>1211</v>
      </c>
      <c r="C267" s="15" t="n">
        <v>2006</v>
      </c>
      <c r="D267" s="15" t="s">
        <v>145</v>
      </c>
      <c r="F267" s="15" t="s">
        <v>1303</v>
      </c>
      <c r="H267" s="15" t="s">
        <v>1157</v>
      </c>
      <c r="I267" s="16" t="n">
        <v>16.7</v>
      </c>
      <c r="J267" s="16" t="n">
        <v>14.5</v>
      </c>
      <c r="K267" s="15" t="s">
        <v>1305</v>
      </c>
      <c r="L267" s="16" t="n">
        <v>22561.7</v>
      </c>
      <c r="M267" s="16" t="n">
        <v>11324.5</v>
      </c>
      <c r="N267" s="15" t="s">
        <v>1246</v>
      </c>
      <c r="P267" s="15" t="n">
        <v>-0.131736526946108</v>
      </c>
      <c r="Q267" s="15" t="s">
        <v>1089</v>
      </c>
      <c r="R267" s="15" t="n">
        <v>-0.498065305362628</v>
      </c>
      <c r="S267" s="15" t="s">
        <v>1089</v>
      </c>
      <c r="T267" s="15" t="s">
        <v>1090</v>
      </c>
      <c r="U267" s="15" t="s">
        <v>1214</v>
      </c>
      <c r="V267" s="15" t="n">
        <v>1351</v>
      </c>
      <c r="W267" s="15" t="n">
        <v>781</v>
      </c>
      <c r="X267" s="15" t="s">
        <v>1306</v>
      </c>
      <c r="Y267" s="15" t="n">
        <v>-0.421909696521095</v>
      </c>
    </row>
    <row r="268" customFormat="false" ht="13.8" hidden="true" customHeight="false" outlineLevel="0" collapsed="false">
      <c r="A268" s="15" t="s">
        <v>1471</v>
      </c>
      <c r="B268" s="15" t="s">
        <v>1211</v>
      </c>
      <c r="C268" s="15" t="n">
        <v>2006</v>
      </c>
      <c r="D268" s="15" t="s">
        <v>145</v>
      </c>
      <c r="F268" s="15" t="s">
        <v>1303</v>
      </c>
      <c r="H268" s="15" t="s">
        <v>403</v>
      </c>
      <c r="I268" s="16" t="n">
        <v>6.36</v>
      </c>
      <c r="J268" s="16" t="n">
        <v>5.64</v>
      </c>
      <c r="K268" s="57" t="s">
        <v>1307</v>
      </c>
      <c r="L268" s="16" t="n">
        <v>8592.36</v>
      </c>
      <c r="M268" s="16" t="n">
        <v>4404.84</v>
      </c>
      <c r="N268" s="57" t="s">
        <v>1308</v>
      </c>
      <c r="P268" s="15" t="n">
        <v>-0.113207547169811</v>
      </c>
      <c r="Q268" s="15" t="s">
        <v>1089</v>
      </c>
      <c r="R268" s="15" t="n">
        <v>-0.487353881820594</v>
      </c>
      <c r="S268" s="15" t="s">
        <v>1089</v>
      </c>
      <c r="T268" s="15" t="s">
        <v>1090</v>
      </c>
      <c r="U268" s="15" t="s">
        <v>1214</v>
      </c>
      <c r="V268" s="15" t="n">
        <v>1351</v>
      </c>
      <c r="W268" s="15" t="n">
        <v>781</v>
      </c>
      <c r="X268" s="15" t="s">
        <v>1306</v>
      </c>
      <c r="Y268" s="15" t="n">
        <v>-0.421909696521095</v>
      </c>
    </row>
    <row r="269" customFormat="false" ht="13.8" hidden="true" customHeight="false" outlineLevel="0" collapsed="false">
      <c r="A269" s="15" t="s">
        <v>1471</v>
      </c>
      <c r="B269" s="15" t="s">
        <v>1211</v>
      </c>
      <c r="C269" s="15" t="n">
        <v>2006</v>
      </c>
      <c r="D269" s="15" t="s">
        <v>145</v>
      </c>
      <c r="F269" s="15" t="s">
        <v>1303</v>
      </c>
      <c r="H269" s="15" t="s">
        <v>1165</v>
      </c>
      <c r="I269" s="16" t="n">
        <v>0.1</v>
      </c>
      <c r="J269" s="16" t="n">
        <v>0.057</v>
      </c>
      <c r="K269" s="57" t="s">
        <v>1309</v>
      </c>
      <c r="L269" s="16" t="n">
        <v>135.1</v>
      </c>
      <c r="M269" s="16" t="n">
        <v>44.517</v>
      </c>
      <c r="N269" s="57" t="s">
        <v>1310</v>
      </c>
      <c r="P269" s="15" t="n">
        <v>-0.43</v>
      </c>
      <c r="Q269" s="15" t="s">
        <v>1089</v>
      </c>
      <c r="R269" s="15" t="n">
        <v>-0.670488527017024</v>
      </c>
      <c r="S269" s="15" t="s">
        <v>1089</v>
      </c>
      <c r="T269" s="15" t="s">
        <v>1090</v>
      </c>
      <c r="U269" s="15" t="s">
        <v>1214</v>
      </c>
      <c r="V269" s="15" t="n">
        <v>1351</v>
      </c>
      <c r="W269" s="15" t="n">
        <v>781</v>
      </c>
      <c r="X269" s="15" t="s">
        <v>1306</v>
      </c>
      <c r="Y269" s="15" t="n">
        <v>-0.421909696521095</v>
      </c>
    </row>
    <row r="270" customFormat="false" ht="13.8" hidden="true" customHeight="false" outlineLevel="0" collapsed="false">
      <c r="A270" s="15" t="s">
        <v>1471</v>
      </c>
      <c r="B270" s="15" t="s">
        <v>1211</v>
      </c>
      <c r="C270" s="15" t="n">
        <v>2006</v>
      </c>
      <c r="D270" s="15" t="s">
        <v>145</v>
      </c>
      <c r="F270" s="15" t="s">
        <v>1303</v>
      </c>
      <c r="H270" s="15" t="s">
        <v>1311</v>
      </c>
      <c r="I270" s="16" t="n">
        <v>0.395</v>
      </c>
      <c r="J270" s="16" t="n">
        <v>0.129</v>
      </c>
      <c r="K270" s="15" t="s">
        <v>1312</v>
      </c>
      <c r="L270" s="16" t="n">
        <v>533.645</v>
      </c>
      <c r="M270" s="16" t="n">
        <v>100.749</v>
      </c>
      <c r="N270" s="15" t="s">
        <v>1169</v>
      </c>
      <c r="P270" s="15" t="n">
        <v>-0.673417721518987</v>
      </c>
      <c r="Q270" s="15" t="s">
        <v>1089</v>
      </c>
      <c r="R270" s="15" t="n">
        <v>-0.811205951522079</v>
      </c>
      <c r="S270" s="15" t="s">
        <v>1089</v>
      </c>
      <c r="T270" s="15" t="s">
        <v>1090</v>
      </c>
      <c r="U270" s="15" t="s">
        <v>1214</v>
      </c>
      <c r="V270" s="15" t="n">
        <v>1351</v>
      </c>
      <c r="W270" s="15" t="n">
        <v>781</v>
      </c>
      <c r="X270" s="15" t="s">
        <v>1306</v>
      </c>
      <c r="Y270" s="15" t="n">
        <v>-0.421909696521095</v>
      </c>
    </row>
    <row r="271" customFormat="false" ht="13.8" hidden="true" customHeight="false" outlineLevel="0" collapsed="false">
      <c r="A271" s="15" t="s">
        <v>1471</v>
      </c>
      <c r="B271" s="15" t="s">
        <v>1211</v>
      </c>
      <c r="C271" s="15" t="n">
        <v>2006</v>
      </c>
      <c r="D271" s="15" t="s">
        <v>145</v>
      </c>
      <c r="F271" s="15" t="s">
        <v>1303</v>
      </c>
      <c r="H271" s="15" t="s">
        <v>1313</v>
      </c>
      <c r="I271" s="16" t="n">
        <v>88</v>
      </c>
      <c r="J271" s="16" t="n">
        <v>0</v>
      </c>
      <c r="K271" s="57" t="s">
        <v>1314</v>
      </c>
      <c r="L271" s="16" t="n">
        <v>118888</v>
      </c>
      <c r="M271" s="16" t="n">
        <v>0</v>
      </c>
      <c r="N271" s="57" t="s">
        <v>1315</v>
      </c>
      <c r="P271" s="15" t="n">
        <v>-1</v>
      </c>
      <c r="Q271" s="15" t="s">
        <v>1089</v>
      </c>
      <c r="R271" s="15" t="n">
        <v>-1</v>
      </c>
      <c r="S271" s="15" t="s">
        <v>1089</v>
      </c>
      <c r="T271" s="15" t="s">
        <v>1090</v>
      </c>
      <c r="U271" s="15" t="s">
        <v>1214</v>
      </c>
      <c r="V271" s="15" t="n">
        <v>1351</v>
      </c>
      <c r="W271" s="15" t="n">
        <v>781</v>
      </c>
      <c r="X271" s="15" t="s">
        <v>1306</v>
      </c>
      <c r="Y271" s="15" t="n">
        <v>-0.421909696521095</v>
      </c>
    </row>
    <row r="272" customFormat="false" ht="13.8" hidden="true" customHeight="false" outlineLevel="0" collapsed="false">
      <c r="A272" s="15" t="s">
        <v>1471</v>
      </c>
      <c r="B272" s="15" t="s">
        <v>1211</v>
      </c>
      <c r="C272" s="15" t="n">
        <v>2006</v>
      </c>
      <c r="D272" s="15" t="s">
        <v>145</v>
      </c>
      <c r="F272" s="15" t="s">
        <v>1303</v>
      </c>
      <c r="H272" s="15" t="s">
        <v>1153</v>
      </c>
      <c r="I272" s="16" t="n">
        <v>7.4</v>
      </c>
      <c r="J272" s="16" t="n">
        <v>12.8</v>
      </c>
      <c r="K272" s="57" t="s">
        <v>1314</v>
      </c>
      <c r="L272" s="16" t="s">
        <v>628</v>
      </c>
      <c r="M272" s="16" t="s">
        <v>628</v>
      </c>
      <c r="N272" s="57" t="s">
        <v>1472</v>
      </c>
      <c r="P272" s="15" t="n">
        <v>0.72972972972973</v>
      </c>
      <c r="Q272" s="15" t="s">
        <v>1089</v>
      </c>
      <c r="R272" s="15" t="s">
        <v>628</v>
      </c>
      <c r="S272" s="15" t="s">
        <v>1089</v>
      </c>
      <c r="T272" s="15" t="s">
        <v>1090</v>
      </c>
      <c r="U272" s="15" t="s">
        <v>1214</v>
      </c>
      <c r="V272" s="15" t="n">
        <v>1351</v>
      </c>
      <c r="W272" s="15" t="n">
        <v>781</v>
      </c>
      <c r="X272" s="15" t="s">
        <v>1306</v>
      </c>
      <c r="Y272" s="15" t="n">
        <v>-0.421909696521095</v>
      </c>
    </row>
    <row r="273" customFormat="false" ht="13.8" hidden="true" customHeight="false" outlineLevel="0" collapsed="false">
      <c r="A273" s="15" t="s">
        <v>1471</v>
      </c>
      <c r="B273" s="15" t="s">
        <v>1211</v>
      </c>
      <c r="C273" s="15" t="n">
        <v>2006</v>
      </c>
      <c r="D273" s="15" t="s">
        <v>145</v>
      </c>
      <c r="F273" s="15" t="s">
        <v>1303</v>
      </c>
      <c r="H273" s="15" t="s">
        <v>1112</v>
      </c>
      <c r="I273" s="16" t="n">
        <v>0.035</v>
      </c>
      <c r="J273" s="16" t="n">
        <v>0.033</v>
      </c>
      <c r="K273" s="15" t="s">
        <v>1316</v>
      </c>
      <c r="L273" s="16" t="n">
        <v>47.285</v>
      </c>
      <c r="M273" s="16" t="n">
        <v>25.773</v>
      </c>
      <c r="N273" s="15" t="s">
        <v>1317</v>
      </c>
      <c r="O273" s="15" t="s">
        <v>1318</v>
      </c>
      <c r="P273" s="15" t="n">
        <v>-0.0571428571428572</v>
      </c>
      <c r="Q273" s="15" t="s">
        <v>1089</v>
      </c>
      <c r="R273" s="15" t="n">
        <v>-0.454943428148462</v>
      </c>
      <c r="S273" s="15" t="s">
        <v>1089</v>
      </c>
      <c r="T273" s="15" t="s">
        <v>1090</v>
      </c>
      <c r="U273" s="15" t="s">
        <v>1214</v>
      </c>
      <c r="V273" s="15" t="n">
        <v>1351</v>
      </c>
      <c r="W273" s="15" t="n">
        <v>781</v>
      </c>
      <c r="X273" s="15" t="s">
        <v>1306</v>
      </c>
      <c r="Y273" s="15" t="n">
        <v>-0.421909696521095</v>
      </c>
    </row>
    <row r="274" customFormat="false" ht="13.8" hidden="true" customHeight="false" outlineLevel="0" collapsed="false">
      <c r="A274" s="15" t="s">
        <v>1471</v>
      </c>
      <c r="B274" s="15" t="s">
        <v>1473</v>
      </c>
      <c r="C274" s="15" t="n">
        <v>2005</v>
      </c>
      <c r="D274" s="15" t="s">
        <v>91</v>
      </c>
      <c r="F274" s="15" t="s">
        <v>1385</v>
      </c>
      <c r="H274" s="15" t="s">
        <v>1157</v>
      </c>
      <c r="I274" s="16" t="n">
        <v>15.9</v>
      </c>
      <c r="J274" s="16" t="n">
        <v>22.2</v>
      </c>
      <c r="K274" s="15" t="s">
        <v>1329</v>
      </c>
      <c r="L274" s="16" t="n">
        <v>29271.9</v>
      </c>
      <c r="M274" s="16" t="n">
        <v>22510.8</v>
      </c>
      <c r="N274" s="15" t="s">
        <v>1216</v>
      </c>
      <c r="O274" s="15" t="s">
        <v>1318</v>
      </c>
      <c r="P274" s="15" t="n">
        <v>39.622641509434</v>
      </c>
      <c r="Q274" s="15" t="s">
        <v>1089</v>
      </c>
      <c r="R274" s="15" t="n">
        <v>-23.097578223484</v>
      </c>
      <c r="S274" s="15" t="s">
        <v>1089</v>
      </c>
      <c r="T274" s="15" t="s">
        <v>1090</v>
      </c>
      <c r="U274" s="15" t="s">
        <v>1474</v>
      </c>
      <c r="V274" s="15" t="n">
        <v>1841</v>
      </c>
      <c r="W274" s="15" t="n">
        <v>1014</v>
      </c>
      <c r="X274" s="15" t="s">
        <v>1326</v>
      </c>
      <c r="Y274" s="15" t="n">
        <v>-45</v>
      </c>
    </row>
    <row r="275" customFormat="false" ht="13.8" hidden="false" customHeight="false" outlineLevel="0" collapsed="false">
      <c r="A275" s="15" t="s">
        <v>1471</v>
      </c>
      <c r="B275" s="15" t="s">
        <v>1473</v>
      </c>
      <c r="C275" s="15" t="n">
        <v>2005</v>
      </c>
      <c r="D275" s="15" t="s">
        <v>91</v>
      </c>
      <c r="F275" s="15" t="s">
        <v>1385</v>
      </c>
      <c r="H275" s="15" t="s">
        <v>403</v>
      </c>
      <c r="I275" s="16" t="n">
        <v>2.3</v>
      </c>
      <c r="J275" s="16" t="n">
        <v>3.97</v>
      </c>
      <c r="K275" s="15" t="s">
        <v>1332</v>
      </c>
      <c r="L275" s="16" t="n">
        <v>4234.3</v>
      </c>
      <c r="M275" s="16" t="n">
        <v>4025.58</v>
      </c>
      <c r="N275" s="15" t="s">
        <v>1475</v>
      </c>
      <c r="P275" s="15" t="n">
        <v>72.6086956521739</v>
      </c>
      <c r="Q275" s="15" t="s">
        <v>1089</v>
      </c>
      <c r="R275" s="15" t="n">
        <v>-4.92926811987812</v>
      </c>
      <c r="S275" s="15" t="s">
        <v>1089</v>
      </c>
      <c r="T275" s="15" t="s">
        <v>1090</v>
      </c>
      <c r="U275" s="15" t="s">
        <v>1474</v>
      </c>
      <c r="V275" s="15" t="n">
        <v>1841</v>
      </c>
      <c r="W275" s="15" t="n">
        <v>1014</v>
      </c>
      <c r="X275" s="15" t="s">
        <v>1326</v>
      </c>
      <c r="Y275" s="15" t="n">
        <v>-45</v>
      </c>
    </row>
    <row r="276" customFormat="false" ht="13.8" hidden="true" customHeight="false" outlineLevel="0" collapsed="false">
      <c r="A276" s="15" t="s">
        <v>1471</v>
      </c>
      <c r="B276" s="15" t="s">
        <v>1473</v>
      </c>
      <c r="C276" s="15" t="n">
        <v>2005</v>
      </c>
      <c r="D276" s="15" t="s">
        <v>91</v>
      </c>
      <c r="F276" s="15" t="s">
        <v>1385</v>
      </c>
      <c r="H276" s="15" t="s">
        <v>1476</v>
      </c>
      <c r="I276" s="16" t="n">
        <v>0.0208</v>
      </c>
      <c r="J276" s="16" t="n">
        <v>0.0216</v>
      </c>
      <c r="K276" s="57" t="s">
        <v>1477</v>
      </c>
      <c r="L276" s="16" t="n">
        <v>38.2928</v>
      </c>
      <c r="M276" s="16" t="n">
        <v>21.9024</v>
      </c>
      <c r="N276" s="57" t="s">
        <v>1478</v>
      </c>
      <c r="P276" s="15" t="n">
        <v>3.84615384615385</v>
      </c>
      <c r="Q276" s="15" t="s">
        <v>1089</v>
      </c>
      <c r="R276" s="15" t="n">
        <v>-42.802824551874</v>
      </c>
      <c r="S276" s="15" t="s">
        <v>1089</v>
      </c>
      <c r="T276" s="15" t="s">
        <v>1090</v>
      </c>
      <c r="U276" s="15" t="s">
        <v>1474</v>
      </c>
      <c r="V276" s="15" t="n">
        <v>1841</v>
      </c>
      <c r="W276" s="15" t="n">
        <v>1014</v>
      </c>
      <c r="X276" s="15" t="s">
        <v>1326</v>
      </c>
      <c r="Y276" s="15" t="n">
        <v>-45</v>
      </c>
    </row>
    <row r="277" customFormat="false" ht="13.8" hidden="true" customHeight="false" outlineLevel="0" collapsed="false">
      <c r="A277" s="15" t="s">
        <v>1471</v>
      </c>
      <c r="B277" s="15" t="s">
        <v>1473</v>
      </c>
      <c r="C277" s="15" t="n">
        <v>2005</v>
      </c>
      <c r="D277" s="15" t="s">
        <v>91</v>
      </c>
      <c r="F277" s="15" t="s">
        <v>1385</v>
      </c>
      <c r="H277" s="15" t="s">
        <v>1311</v>
      </c>
      <c r="I277" s="16" t="n">
        <v>0.0435</v>
      </c>
      <c r="J277" s="16" t="n">
        <v>0.0372</v>
      </c>
      <c r="K277" s="15" t="s">
        <v>1479</v>
      </c>
      <c r="L277" s="16" t="n">
        <v>80.0835</v>
      </c>
      <c r="M277" s="16" t="n">
        <v>37.7208</v>
      </c>
      <c r="N277" s="15" t="s">
        <v>1169</v>
      </c>
      <c r="P277" s="15" t="n">
        <v>-14.4827586206897</v>
      </c>
      <c r="Q277" s="15" t="s">
        <v>1089</v>
      </c>
      <c r="R277" s="15" t="n">
        <v>-52.8981625428459</v>
      </c>
      <c r="S277" s="15" t="s">
        <v>1089</v>
      </c>
      <c r="T277" s="15" t="s">
        <v>1090</v>
      </c>
      <c r="U277" s="15" t="s">
        <v>1474</v>
      </c>
      <c r="V277" s="15" t="n">
        <v>1841</v>
      </c>
      <c r="W277" s="15" t="n">
        <v>1014</v>
      </c>
      <c r="X277" s="15" t="s">
        <v>1326</v>
      </c>
      <c r="Y277" s="15" t="n">
        <v>-45</v>
      </c>
    </row>
    <row r="278" customFormat="false" ht="13.8" hidden="true" customHeight="false" outlineLevel="0" collapsed="false">
      <c r="A278" s="15" t="s">
        <v>1471</v>
      </c>
      <c r="B278" s="15" t="s">
        <v>1473</v>
      </c>
      <c r="C278" s="15" t="n">
        <v>2005</v>
      </c>
      <c r="D278" s="15" t="s">
        <v>91</v>
      </c>
      <c r="F278" s="15" t="s">
        <v>1385</v>
      </c>
      <c r="H278" s="15" t="s">
        <v>1313</v>
      </c>
      <c r="I278" s="16" t="n">
        <v>0.00137</v>
      </c>
      <c r="J278" s="16" t="n">
        <v>0.000239</v>
      </c>
      <c r="K278" s="15" t="s">
        <v>1480</v>
      </c>
      <c r="L278" s="16" t="n">
        <v>2.52217</v>
      </c>
      <c r="M278" s="16" t="n">
        <v>0.242346</v>
      </c>
      <c r="N278" s="15" t="s">
        <v>1481</v>
      </c>
      <c r="P278" s="15" t="n">
        <v>-82.5547445255475</v>
      </c>
      <c r="Q278" s="15" t="s">
        <v>1089</v>
      </c>
      <c r="R278" s="15" t="n">
        <v>-90.391369336722</v>
      </c>
      <c r="S278" s="15" t="s">
        <v>1089</v>
      </c>
      <c r="T278" s="15" t="s">
        <v>1090</v>
      </c>
      <c r="U278" s="15" t="s">
        <v>1474</v>
      </c>
      <c r="V278" s="15" t="n">
        <v>1841</v>
      </c>
      <c r="W278" s="15" t="n">
        <v>1014</v>
      </c>
      <c r="X278" s="15" t="s">
        <v>1326</v>
      </c>
      <c r="Y278" s="15" t="n">
        <v>-45</v>
      </c>
    </row>
    <row r="279" customFormat="false" ht="13.8" hidden="true" customHeight="false" outlineLevel="0" collapsed="false">
      <c r="A279" s="15" t="s">
        <v>1471</v>
      </c>
      <c r="B279" s="15" t="s">
        <v>1473</v>
      </c>
      <c r="C279" s="15" t="n">
        <v>2005</v>
      </c>
      <c r="D279" s="15" t="s">
        <v>91</v>
      </c>
      <c r="F279" s="15" t="s">
        <v>1385</v>
      </c>
      <c r="H279" s="15" t="s">
        <v>1153</v>
      </c>
      <c r="I279" s="16" t="n">
        <v>5.43</v>
      </c>
      <c r="J279" s="16" t="n">
        <v>9.87</v>
      </c>
      <c r="K279" s="57" t="s">
        <v>1482</v>
      </c>
      <c r="L279" s="16" t="n">
        <v>9996.63</v>
      </c>
      <c r="M279" s="16" t="n">
        <v>10008.18</v>
      </c>
      <c r="N279" s="57" t="s">
        <v>1483</v>
      </c>
      <c r="P279" s="15" t="n">
        <v>81.767955801105</v>
      </c>
      <c r="Q279" s="15" t="s">
        <v>1089</v>
      </c>
      <c r="R279" s="15" t="n">
        <v>0.115538936621633</v>
      </c>
      <c r="S279" s="15" t="s">
        <v>1089</v>
      </c>
      <c r="T279" s="15" t="s">
        <v>1090</v>
      </c>
      <c r="U279" s="15" t="s">
        <v>1474</v>
      </c>
      <c r="V279" s="15" t="n">
        <v>1841</v>
      </c>
      <c r="W279" s="15" t="n">
        <v>1014</v>
      </c>
      <c r="X279" s="15" t="s">
        <v>1326</v>
      </c>
      <c r="Y279" s="15" t="n">
        <v>-45</v>
      </c>
    </row>
    <row r="280" customFormat="false" ht="13.8" hidden="true" customHeight="false" outlineLevel="0" collapsed="false">
      <c r="A280" s="15" t="s">
        <v>1471</v>
      </c>
      <c r="B280" s="15" t="s">
        <v>1473</v>
      </c>
      <c r="C280" s="15" t="n">
        <v>2005</v>
      </c>
      <c r="D280" s="15" t="s">
        <v>91</v>
      </c>
      <c r="F280" s="15" t="s">
        <v>1385</v>
      </c>
      <c r="H280" s="15" t="s">
        <v>1173</v>
      </c>
      <c r="I280" s="16" t="n">
        <v>0.0165</v>
      </c>
      <c r="J280" s="16" t="n">
        <v>0.0304</v>
      </c>
      <c r="K280" s="15" t="s">
        <v>1484</v>
      </c>
      <c r="L280" s="16" t="n">
        <v>30.3765</v>
      </c>
      <c r="M280" s="16" t="n">
        <v>30.8256</v>
      </c>
      <c r="N280" s="15" t="s">
        <v>1485</v>
      </c>
      <c r="P280" s="15" t="n">
        <v>84.2424242424242</v>
      </c>
      <c r="Q280" s="15" t="s">
        <v>1089</v>
      </c>
      <c r="R280" s="15" t="n">
        <v>1.47844550886376</v>
      </c>
      <c r="S280" s="15" t="s">
        <v>1089</v>
      </c>
      <c r="T280" s="15" t="s">
        <v>1090</v>
      </c>
      <c r="U280" s="15" t="s">
        <v>1474</v>
      </c>
      <c r="V280" s="15" t="n">
        <v>1841</v>
      </c>
      <c r="W280" s="15" t="n">
        <v>1014</v>
      </c>
      <c r="X280" s="15" t="s">
        <v>1326</v>
      </c>
      <c r="Y280" s="15" t="n">
        <v>-45</v>
      </c>
    </row>
    <row r="281" customFormat="false" ht="25" hidden="true" customHeight="false" outlineLevel="0" collapsed="false">
      <c r="A281" s="15" t="s">
        <v>1471</v>
      </c>
      <c r="B281" s="15" t="s">
        <v>1328</v>
      </c>
      <c r="C281" s="15" t="n">
        <v>2012</v>
      </c>
      <c r="D281" s="15" t="s">
        <v>132</v>
      </c>
      <c r="F281" s="15" t="s">
        <v>1486</v>
      </c>
      <c r="H281" s="15" t="s">
        <v>1157</v>
      </c>
      <c r="I281" s="16" t="n">
        <v>30.1</v>
      </c>
      <c r="J281" s="16" t="n">
        <v>31.8</v>
      </c>
      <c r="K281" s="15" t="s">
        <v>1329</v>
      </c>
      <c r="L281" s="16" t="n">
        <v>70012.6</v>
      </c>
      <c r="M281" s="16" t="n">
        <v>42389.4</v>
      </c>
      <c r="N281" s="15" t="s">
        <v>1216</v>
      </c>
      <c r="P281" s="15" t="n">
        <v>0.0564784053156147</v>
      </c>
      <c r="Q281" s="15" t="s">
        <v>1089</v>
      </c>
      <c r="R281" s="15" t="n">
        <v>-0.394546124554723</v>
      </c>
      <c r="S281" s="15" t="s">
        <v>1089</v>
      </c>
      <c r="T281" s="15" t="s">
        <v>1090</v>
      </c>
      <c r="U281" s="56" t="s">
        <v>1487</v>
      </c>
      <c r="V281" s="15" t="n">
        <v>2326</v>
      </c>
      <c r="W281" s="15" t="n">
        <v>1333</v>
      </c>
      <c r="X281" s="15" t="s">
        <v>1326</v>
      </c>
      <c r="Y281" s="15" t="n">
        <v>-0.426913155631986</v>
      </c>
    </row>
    <row r="282" customFormat="false" ht="25" hidden="false" customHeight="false" outlineLevel="0" collapsed="false">
      <c r="A282" s="15" t="s">
        <v>1471</v>
      </c>
      <c r="B282" s="15" t="s">
        <v>1328</v>
      </c>
      <c r="C282" s="15" t="n">
        <v>2012</v>
      </c>
      <c r="D282" s="15" t="s">
        <v>132</v>
      </c>
      <c r="F282" s="15" t="s">
        <v>1486</v>
      </c>
      <c r="H282" s="15" t="s">
        <v>403</v>
      </c>
      <c r="I282" s="16" t="n">
        <v>3.3</v>
      </c>
      <c r="J282" s="16" t="n">
        <v>3.4</v>
      </c>
      <c r="K282" s="15" t="s">
        <v>1332</v>
      </c>
      <c r="L282" s="16" t="n">
        <v>7675.8</v>
      </c>
      <c r="M282" s="16" t="n">
        <v>4532.2</v>
      </c>
      <c r="N282" s="15" t="s">
        <v>1333</v>
      </c>
      <c r="P282" s="15" t="n">
        <v>0.0303030303030303</v>
      </c>
      <c r="Q282" s="15" t="s">
        <v>1089</v>
      </c>
      <c r="R282" s="15" t="n">
        <v>-0.409546887620834</v>
      </c>
      <c r="S282" s="15" t="s">
        <v>1089</v>
      </c>
      <c r="T282" s="15" t="s">
        <v>1090</v>
      </c>
      <c r="U282" s="56" t="s">
        <v>1487</v>
      </c>
      <c r="V282" s="15" t="n">
        <v>2326</v>
      </c>
      <c r="W282" s="15" t="n">
        <v>1333</v>
      </c>
      <c r="X282" s="15" t="s">
        <v>1326</v>
      </c>
      <c r="Y282" s="15" t="n">
        <v>-0.426913155631986</v>
      </c>
    </row>
    <row r="283" customFormat="false" ht="25" hidden="true" customHeight="false" outlineLevel="0" collapsed="false">
      <c r="A283" s="15" t="s">
        <v>1471</v>
      </c>
      <c r="B283" s="15" t="s">
        <v>1328</v>
      </c>
      <c r="C283" s="15" t="n">
        <v>2012</v>
      </c>
      <c r="D283" s="15" t="s">
        <v>132</v>
      </c>
      <c r="F283" s="15" t="s">
        <v>1486</v>
      </c>
      <c r="H283" s="15" t="s">
        <v>1334</v>
      </c>
      <c r="I283" s="16" t="n">
        <v>28.1</v>
      </c>
      <c r="J283" s="16" t="n">
        <v>31.6</v>
      </c>
      <c r="K283" s="15" t="s">
        <v>1335</v>
      </c>
      <c r="L283" s="16" t="n">
        <v>65360.6</v>
      </c>
      <c r="M283" s="16" t="n">
        <v>42122.8</v>
      </c>
      <c r="N283" s="15" t="s">
        <v>1336</v>
      </c>
      <c r="P283" s="15" t="n">
        <v>0.124555160142349</v>
      </c>
      <c r="Q283" s="15" t="s">
        <v>1089</v>
      </c>
      <c r="R283" s="15" t="n">
        <v>-0.355532231956255</v>
      </c>
      <c r="S283" s="15" t="s">
        <v>1089</v>
      </c>
      <c r="T283" s="15" t="s">
        <v>1090</v>
      </c>
      <c r="U283" s="56" t="s">
        <v>1487</v>
      </c>
      <c r="V283" s="15" t="n">
        <v>2326</v>
      </c>
      <c r="W283" s="15" t="n">
        <v>1333</v>
      </c>
      <c r="X283" s="15" t="s">
        <v>1326</v>
      </c>
      <c r="Y283" s="15" t="n">
        <v>-0.426913155631986</v>
      </c>
    </row>
    <row r="284" customFormat="false" ht="25" hidden="true" customHeight="false" outlineLevel="0" collapsed="false">
      <c r="A284" s="15" t="s">
        <v>1471</v>
      </c>
      <c r="B284" s="15" t="s">
        <v>1328</v>
      </c>
      <c r="C284" s="15" t="n">
        <v>2012</v>
      </c>
      <c r="D284" s="15" t="s">
        <v>132</v>
      </c>
      <c r="F284" s="15" t="s">
        <v>1486</v>
      </c>
      <c r="H284" s="15" t="s">
        <v>1337</v>
      </c>
      <c r="I284" s="16" t="n">
        <v>0.002</v>
      </c>
      <c r="J284" s="16" t="n">
        <v>0.0023</v>
      </c>
      <c r="K284" s="15" t="s">
        <v>1338</v>
      </c>
      <c r="L284" s="16" t="n">
        <v>4.652</v>
      </c>
      <c r="M284" s="16" t="n">
        <v>3.0659</v>
      </c>
      <c r="N284" s="15" t="s">
        <v>1339</v>
      </c>
      <c r="P284" s="15" t="n">
        <v>0.15</v>
      </c>
      <c r="Q284" s="15" t="s">
        <v>1089</v>
      </c>
      <c r="R284" s="15" t="n">
        <v>-0.340950128976784</v>
      </c>
      <c r="S284" s="15" t="s">
        <v>1089</v>
      </c>
      <c r="T284" s="15" t="s">
        <v>1090</v>
      </c>
      <c r="U284" s="56" t="s">
        <v>1487</v>
      </c>
      <c r="V284" s="15" t="n">
        <v>2326</v>
      </c>
      <c r="W284" s="15" t="n">
        <v>1333</v>
      </c>
      <c r="X284" s="15" t="s">
        <v>1326</v>
      </c>
      <c r="Y284" s="15" t="n">
        <v>-0.426913155631986</v>
      </c>
    </row>
    <row r="285" customFormat="false" ht="25" hidden="true" customHeight="false" outlineLevel="0" collapsed="false">
      <c r="A285" s="15" t="s">
        <v>1471</v>
      </c>
      <c r="B285" s="15" t="s">
        <v>1328</v>
      </c>
      <c r="C285" s="15" t="n">
        <v>2012</v>
      </c>
      <c r="D285" s="15" t="s">
        <v>132</v>
      </c>
      <c r="F285" s="15" t="s">
        <v>1486</v>
      </c>
      <c r="H285" s="15" t="s">
        <v>1181</v>
      </c>
      <c r="I285" s="16" t="n">
        <v>0.009</v>
      </c>
      <c r="J285" s="16" t="n">
        <v>0.001</v>
      </c>
      <c r="K285" s="15" t="s">
        <v>1340</v>
      </c>
      <c r="L285" s="16" t="n">
        <v>20.934</v>
      </c>
      <c r="M285" s="16" t="n">
        <v>1.333</v>
      </c>
      <c r="N285" s="15" t="s">
        <v>1341</v>
      </c>
      <c r="P285" s="15" t="n">
        <v>-0.888888888888889</v>
      </c>
      <c r="Q285" s="15" t="s">
        <v>1089</v>
      </c>
      <c r="R285" s="15" t="n">
        <v>-0.93632368395911</v>
      </c>
      <c r="S285" s="15" t="s">
        <v>1089</v>
      </c>
      <c r="T285" s="15" t="s">
        <v>1090</v>
      </c>
      <c r="U285" s="56" t="s">
        <v>1487</v>
      </c>
      <c r="V285" s="15" t="n">
        <v>2326</v>
      </c>
      <c r="W285" s="15" t="n">
        <v>1333</v>
      </c>
      <c r="X285" s="15" t="s">
        <v>1326</v>
      </c>
      <c r="Y285" s="15" t="n">
        <v>-0.426913155631986</v>
      </c>
    </row>
    <row r="286" customFormat="false" ht="25" hidden="true" customHeight="false" outlineLevel="0" collapsed="false">
      <c r="A286" s="15" t="s">
        <v>1471</v>
      </c>
      <c r="B286" s="15" t="s">
        <v>1328</v>
      </c>
      <c r="C286" s="15" t="n">
        <v>2012</v>
      </c>
      <c r="D286" s="15" t="s">
        <v>132</v>
      </c>
      <c r="F286" s="15" t="s">
        <v>1486</v>
      </c>
      <c r="H286" s="15" t="s">
        <v>1184</v>
      </c>
      <c r="I286" s="16" t="n">
        <v>0.015</v>
      </c>
      <c r="J286" s="16" t="n">
        <v>0.001</v>
      </c>
      <c r="K286" s="15" t="s">
        <v>1340</v>
      </c>
      <c r="L286" s="16" t="n">
        <v>34.89</v>
      </c>
      <c r="M286" s="16" t="n">
        <v>1.333</v>
      </c>
      <c r="N286" s="15" t="s">
        <v>1341</v>
      </c>
      <c r="P286" s="15" t="n">
        <v>-0.933333333333333</v>
      </c>
      <c r="Q286" s="15" t="s">
        <v>1089</v>
      </c>
      <c r="R286" s="15" t="n">
        <v>-0.961794210375466</v>
      </c>
      <c r="S286" s="15" t="s">
        <v>1089</v>
      </c>
      <c r="T286" s="15" t="s">
        <v>1090</v>
      </c>
      <c r="U286" s="56" t="s">
        <v>1487</v>
      </c>
      <c r="V286" s="15" t="n">
        <v>2326</v>
      </c>
      <c r="W286" s="15" t="n">
        <v>1333</v>
      </c>
      <c r="X286" s="15" t="s">
        <v>1326</v>
      </c>
      <c r="Y286" s="15" t="n">
        <v>-0.426913155631986</v>
      </c>
    </row>
    <row r="287" customFormat="false" ht="25" hidden="true" customHeight="false" outlineLevel="0" collapsed="false">
      <c r="A287" s="15" t="s">
        <v>1471</v>
      </c>
      <c r="B287" s="15" t="s">
        <v>1328</v>
      </c>
      <c r="C287" s="15" t="n">
        <v>2012</v>
      </c>
      <c r="D287" s="15" t="s">
        <v>132</v>
      </c>
      <c r="F287" s="15" t="s">
        <v>1486</v>
      </c>
      <c r="H287" s="15" t="s">
        <v>1153</v>
      </c>
      <c r="I287" s="16" t="n">
        <v>4.3</v>
      </c>
      <c r="J287" s="16" t="n">
        <v>7.5</v>
      </c>
      <c r="K287" s="15" t="s">
        <v>1342</v>
      </c>
      <c r="L287" s="16" t="s">
        <v>628</v>
      </c>
      <c r="M287" s="16" t="s">
        <v>628</v>
      </c>
      <c r="N287" s="15" t="s">
        <v>1343</v>
      </c>
      <c r="P287" s="15" t="n">
        <v>0.744186046511628</v>
      </c>
      <c r="Q287" s="15" t="s">
        <v>1089</v>
      </c>
      <c r="R287" s="15" t="s">
        <v>628</v>
      </c>
      <c r="S287" s="15" t="s">
        <v>1089</v>
      </c>
      <c r="T287" s="15" t="s">
        <v>1090</v>
      </c>
      <c r="U287" s="56" t="s">
        <v>1487</v>
      </c>
      <c r="V287" s="15" t="n">
        <v>2326</v>
      </c>
      <c r="W287" s="15" t="n">
        <v>1333</v>
      </c>
      <c r="X287" s="15" t="s">
        <v>1326</v>
      </c>
      <c r="Y287" s="15" t="n">
        <v>-0.426913155631986</v>
      </c>
    </row>
    <row r="288" customFormat="false" ht="25" hidden="true" customHeight="false" outlineLevel="0" collapsed="false">
      <c r="A288" s="15" t="s">
        <v>1471</v>
      </c>
      <c r="B288" s="15" t="s">
        <v>1328</v>
      </c>
      <c r="C288" s="15" t="n">
        <v>2012</v>
      </c>
      <c r="D288" s="15" t="s">
        <v>132</v>
      </c>
      <c r="F288" s="15" t="s">
        <v>1486</v>
      </c>
      <c r="H288" s="15" t="s">
        <v>1344</v>
      </c>
      <c r="I288" s="16" t="n">
        <v>3.8</v>
      </c>
      <c r="J288" s="16" t="n">
        <v>6.9</v>
      </c>
      <c r="K288" s="15" t="s">
        <v>1342</v>
      </c>
      <c r="L288" s="16" t="n">
        <v>8838.8</v>
      </c>
      <c r="M288" s="16" t="n">
        <v>9197.7</v>
      </c>
      <c r="N288" s="15" t="s">
        <v>1345</v>
      </c>
      <c r="P288" s="15" t="n">
        <v>0.815789473684211</v>
      </c>
      <c r="Q288" s="15" t="s">
        <v>1089</v>
      </c>
      <c r="R288" s="15" t="n">
        <v>0.0406050595103409</v>
      </c>
      <c r="S288" s="15" t="s">
        <v>1089</v>
      </c>
      <c r="T288" s="15" t="s">
        <v>1090</v>
      </c>
      <c r="U288" s="56" t="s">
        <v>1487</v>
      </c>
      <c r="V288" s="15" t="n">
        <v>2326</v>
      </c>
      <c r="W288" s="15" t="n">
        <v>1333</v>
      </c>
      <c r="X288" s="15" t="s">
        <v>1326</v>
      </c>
      <c r="Y288" s="15" t="n">
        <v>-0.426913155631986</v>
      </c>
    </row>
    <row r="289" customFormat="false" ht="25" hidden="true" customHeight="false" outlineLevel="0" collapsed="false">
      <c r="A289" s="15" t="s">
        <v>1471</v>
      </c>
      <c r="B289" s="15" t="s">
        <v>1328</v>
      </c>
      <c r="C289" s="15" t="n">
        <v>2012</v>
      </c>
      <c r="D289" s="15" t="s">
        <v>132</v>
      </c>
      <c r="F289" s="15" t="s">
        <v>1486</v>
      </c>
      <c r="H289" s="15" t="s">
        <v>1346</v>
      </c>
      <c r="I289" s="16" t="n">
        <v>0.03</v>
      </c>
      <c r="J289" s="16" t="n">
        <v>0.001</v>
      </c>
      <c r="K289" s="15" t="s">
        <v>1347</v>
      </c>
      <c r="L289" s="16" t="n">
        <v>69.78</v>
      </c>
      <c r="M289" s="16" t="n">
        <v>1.333</v>
      </c>
      <c r="N289" s="15" t="s">
        <v>1348</v>
      </c>
      <c r="P289" s="15" t="n">
        <v>-0.966666666666667</v>
      </c>
      <c r="Q289" s="15" t="s">
        <v>1089</v>
      </c>
      <c r="R289" s="15" t="n">
        <v>-0.980897105187733</v>
      </c>
      <c r="S289" s="15" t="s">
        <v>1089</v>
      </c>
      <c r="T289" s="15" t="s">
        <v>1090</v>
      </c>
      <c r="U289" s="56" t="s">
        <v>1487</v>
      </c>
      <c r="V289" s="15" t="n">
        <v>2326</v>
      </c>
      <c r="W289" s="15" t="n">
        <v>1333</v>
      </c>
      <c r="X289" s="15" t="s">
        <v>1326</v>
      </c>
      <c r="Y289" s="15" t="n">
        <v>-0.426913155631986</v>
      </c>
    </row>
    <row r="290" customFormat="false" ht="25" hidden="true" customHeight="false" outlineLevel="0" collapsed="false">
      <c r="A290" s="15" t="s">
        <v>1471</v>
      </c>
      <c r="B290" s="15" t="s">
        <v>1328</v>
      </c>
      <c r="C290" s="15" t="n">
        <v>2012</v>
      </c>
      <c r="D290" s="15" t="s">
        <v>132</v>
      </c>
      <c r="F290" s="15" t="s">
        <v>1486</v>
      </c>
      <c r="H290" s="15" t="s">
        <v>1349</v>
      </c>
      <c r="I290" s="16" t="n">
        <v>0.028</v>
      </c>
      <c r="J290" s="16" t="n">
        <v>0.027</v>
      </c>
      <c r="K290" s="15" t="s">
        <v>1350</v>
      </c>
      <c r="L290" s="16" t="n">
        <v>65.128</v>
      </c>
      <c r="M290" s="16" t="n">
        <v>35.991</v>
      </c>
      <c r="N290" s="15" t="s">
        <v>1351</v>
      </c>
      <c r="P290" s="15" t="n">
        <v>-0.0357142857142857</v>
      </c>
      <c r="Q290" s="15" t="s">
        <v>1089</v>
      </c>
      <c r="R290" s="15" t="n">
        <v>-0.447380542930844</v>
      </c>
      <c r="S290" s="15" t="s">
        <v>1089</v>
      </c>
      <c r="T290" s="15" t="s">
        <v>1090</v>
      </c>
      <c r="U290" s="56" t="s">
        <v>1487</v>
      </c>
      <c r="V290" s="15" t="n">
        <v>2326</v>
      </c>
      <c r="W290" s="15" t="n">
        <v>1333</v>
      </c>
      <c r="X290" s="15" t="s">
        <v>1326</v>
      </c>
      <c r="Y290" s="15" t="n">
        <v>-0.426913155631986</v>
      </c>
    </row>
    <row r="291" customFormat="false" ht="25" hidden="true" customHeight="false" outlineLevel="0" collapsed="false">
      <c r="A291" s="15" t="s">
        <v>1471</v>
      </c>
      <c r="B291" s="15" t="s">
        <v>1328</v>
      </c>
      <c r="C291" s="15" t="n">
        <v>2012</v>
      </c>
      <c r="D291" s="15" t="s">
        <v>132</v>
      </c>
      <c r="F291" s="15" t="s">
        <v>1486</v>
      </c>
      <c r="H291" s="15" t="s">
        <v>1352</v>
      </c>
      <c r="I291" s="16" t="n">
        <v>1.9</v>
      </c>
      <c r="J291" s="16" t="n">
        <v>4.1</v>
      </c>
      <c r="K291" s="15" t="s">
        <v>1347</v>
      </c>
      <c r="L291" s="16" t="n">
        <v>4419.4</v>
      </c>
      <c r="M291" s="16" t="n">
        <v>5465.3</v>
      </c>
      <c r="N291" s="15" t="s">
        <v>1348</v>
      </c>
      <c r="P291" s="15" t="n">
        <v>1.15789473684211</v>
      </c>
      <c r="Q291" s="15" t="s">
        <v>1089</v>
      </c>
      <c r="R291" s="15" t="n">
        <v>0.236661085215188</v>
      </c>
      <c r="S291" s="15" t="s">
        <v>1089</v>
      </c>
      <c r="T291" s="15" t="s">
        <v>1090</v>
      </c>
      <c r="U291" s="56" t="s">
        <v>1487</v>
      </c>
      <c r="V291" s="15" t="n">
        <v>2326</v>
      </c>
      <c r="W291" s="15" t="n">
        <v>1333</v>
      </c>
      <c r="X291" s="15" t="s">
        <v>1326</v>
      </c>
      <c r="Y291" s="15" t="n">
        <v>-0.426913155631986</v>
      </c>
    </row>
    <row r="292" customFormat="false" ht="25" hidden="true" customHeight="false" outlineLevel="0" collapsed="false">
      <c r="A292" s="15" t="s">
        <v>1471</v>
      </c>
      <c r="B292" s="15" t="s">
        <v>1328</v>
      </c>
      <c r="C292" s="15" t="n">
        <v>2012</v>
      </c>
      <c r="D292" s="15" t="s">
        <v>132</v>
      </c>
      <c r="F292" s="15" t="s">
        <v>1486</v>
      </c>
      <c r="H292" s="15" t="s">
        <v>1353</v>
      </c>
      <c r="I292" s="16" t="n">
        <v>0.019</v>
      </c>
      <c r="J292" s="16" t="n">
        <v>0.033</v>
      </c>
      <c r="K292" s="15" t="s">
        <v>1354</v>
      </c>
      <c r="L292" s="16" t="n">
        <v>44.194</v>
      </c>
      <c r="M292" s="16" t="n">
        <v>43.989</v>
      </c>
      <c r="N292" s="15" t="s">
        <v>1355</v>
      </c>
      <c r="P292" s="15" t="n">
        <v>0.736842105263158</v>
      </c>
      <c r="Q292" s="15" t="s">
        <v>1089</v>
      </c>
      <c r="R292" s="15" t="n">
        <v>-0.00463863872923909</v>
      </c>
      <c r="S292" s="15" t="s">
        <v>1089</v>
      </c>
      <c r="T292" s="15" t="s">
        <v>1090</v>
      </c>
      <c r="U292" s="56" t="s">
        <v>1487</v>
      </c>
      <c r="V292" s="15" t="n">
        <v>2326</v>
      </c>
      <c r="W292" s="15" t="n">
        <v>1333</v>
      </c>
      <c r="X292" s="15" t="s">
        <v>1326</v>
      </c>
      <c r="Y292" s="15" t="n">
        <v>-0.426913155631986</v>
      </c>
    </row>
    <row r="293" customFormat="false" ht="25" hidden="true" customHeight="false" outlineLevel="0" collapsed="false">
      <c r="A293" s="15" t="s">
        <v>1471</v>
      </c>
      <c r="B293" s="15" t="s">
        <v>1328</v>
      </c>
      <c r="C293" s="15" t="n">
        <v>2012</v>
      </c>
      <c r="D293" s="15" t="s">
        <v>132</v>
      </c>
      <c r="F293" s="15" t="s">
        <v>1486</v>
      </c>
      <c r="H293" s="15" t="s">
        <v>1356</v>
      </c>
      <c r="I293" s="16" t="n">
        <v>0.0005</v>
      </c>
      <c r="J293" s="16" t="n">
        <v>0.0004</v>
      </c>
      <c r="K293" s="15" t="s">
        <v>1357</v>
      </c>
      <c r="L293" s="16" t="n">
        <v>1.163</v>
      </c>
      <c r="M293" s="16" t="n">
        <v>0.5332</v>
      </c>
      <c r="N293" s="15" t="s">
        <v>1358</v>
      </c>
      <c r="P293" s="15" t="n">
        <v>-0.2</v>
      </c>
      <c r="Q293" s="15" t="s">
        <v>1089</v>
      </c>
      <c r="R293" s="15" t="n">
        <v>-0.541530524505589</v>
      </c>
      <c r="S293" s="15" t="s">
        <v>1089</v>
      </c>
      <c r="T293" s="15" t="s">
        <v>1090</v>
      </c>
      <c r="U293" s="56" t="s">
        <v>1487</v>
      </c>
      <c r="V293" s="15" t="n">
        <v>2326</v>
      </c>
      <c r="W293" s="15" t="n">
        <v>1333</v>
      </c>
      <c r="X293" s="15" t="s">
        <v>1326</v>
      </c>
      <c r="Y293" s="15" t="n">
        <v>-0.426913155631986</v>
      </c>
    </row>
    <row r="294" customFormat="false" ht="25" hidden="true" customHeight="false" outlineLevel="0" collapsed="false">
      <c r="A294" s="15" t="s">
        <v>1471</v>
      </c>
      <c r="B294" s="15" t="s">
        <v>1328</v>
      </c>
      <c r="C294" s="15" t="n">
        <v>2012</v>
      </c>
      <c r="D294" s="15" t="s">
        <v>132</v>
      </c>
      <c r="F294" s="15" t="s">
        <v>1486</v>
      </c>
      <c r="H294" s="15" t="s">
        <v>1311</v>
      </c>
      <c r="I294" s="16" t="n">
        <v>0.52</v>
      </c>
      <c r="J294" s="16" t="n">
        <v>1.02</v>
      </c>
      <c r="K294" s="15" t="s">
        <v>1359</v>
      </c>
      <c r="L294" s="16" t="n">
        <v>1209.52</v>
      </c>
      <c r="M294" s="16" t="n">
        <v>1359.66</v>
      </c>
      <c r="N294" s="15" t="s">
        <v>1359</v>
      </c>
      <c r="P294" s="15" t="n">
        <v>0.961538461538462</v>
      </c>
      <c r="Q294" s="15" t="s">
        <v>1089</v>
      </c>
      <c r="R294" s="15" t="n">
        <v>0.124131887029566</v>
      </c>
      <c r="S294" s="15" t="s">
        <v>1089</v>
      </c>
      <c r="T294" s="15" t="s">
        <v>1090</v>
      </c>
      <c r="U294" s="56" t="s">
        <v>1487</v>
      </c>
      <c r="V294" s="15" t="n">
        <v>2326</v>
      </c>
      <c r="W294" s="15" t="n">
        <v>1333</v>
      </c>
      <c r="X294" s="15" t="s">
        <v>1326</v>
      </c>
      <c r="Y294" s="15" t="n">
        <v>-0.426913155631986</v>
      </c>
    </row>
    <row r="295" customFormat="false" ht="25" hidden="true" customHeight="false" outlineLevel="0" collapsed="false">
      <c r="A295" s="15" t="s">
        <v>1471</v>
      </c>
      <c r="B295" s="15" t="s">
        <v>1328</v>
      </c>
      <c r="C295" s="15" t="n">
        <v>2012</v>
      </c>
      <c r="D295" s="15" t="s">
        <v>132</v>
      </c>
      <c r="F295" s="15" t="s">
        <v>1486</v>
      </c>
      <c r="H295" s="15" t="s">
        <v>1360</v>
      </c>
      <c r="I295" s="16" t="n">
        <v>0.0026</v>
      </c>
      <c r="J295" s="16" t="n">
        <v>0.007</v>
      </c>
      <c r="K295" s="15" t="s">
        <v>1361</v>
      </c>
      <c r="L295" s="16" t="n">
        <v>6.0476</v>
      </c>
      <c r="M295" s="16" t="n">
        <v>9.331</v>
      </c>
      <c r="N295" s="15" t="s">
        <v>1362</v>
      </c>
      <c r="P295" s="15" t="n">
        <v>1.69230769230769</v>
      </c>
      <c r="Q295" s="15" t="s">
        <v>1089</v>
      </c>
      <c r="R295" s="15" t="n">
        <v>0.542926119452345</v>
      </c>
      <c r="S295" s="15" t="s">
        <v>1089</v>
      </c>
      <c r="T295" s="15" t="s">
        <v>1090</v>
      </c>
      <c r="U295" s="56" t="s">
        <v>1487</v>
      </c>
      <c r="V295" s="15" t="n">
        <v>2326</v>
      </c>
      <c r="W295" s="15" t="n">
        <v>1333</v>
      </c>
      <c r="X295" s="15" t="s">
        <v>1326</v>
      </c>
      <c r="Y295" s="15" t="n">
        <v>-0.426913155631986</v>
      </c>
    </row>
    <row r="296" customFormat="false" ht="25" hidden="true" customHeight="false" outlineLevel="0" collapsed="false">
      <c r="A296" s="15" t="s">
        <v>1471</v>
      </c>
      <c r="B296" s="15" t="s">
        <v>1328</v>
      </c>
      <c r="C296" s="15" t="n">
        <v>2013</v>
      </c>
      <c r="D296" s="15" t="s">
        <v>132</v>
      </c>
      <c r="F296" s="15" t="s">
        <v>1486</v>
      </c>
      <c r="H296" s="15" t="s">
        <v>1363</v>
      </c>
      <c r="I296" s="16" t="n">
        <v>0.0056</v>
      </c>
      <c r="J296" s="16" t="n">
        <v>0.0002</v>
      </c>
      <c r="K296" s="15" t="s">
        <v>1361</v>
      </c>
      <c r="L296" s="16" t="n">
        <v>13.0256</v>
      </c>
      <c r="M296" s="16" t="n">
        <v>0.2666</v>
      </c>
      <c r="N296" s="15" t="s">
        <v>1362</v>
      </c>
      <c r="P296" s="15" t="n">
        <v>-0.964285714285714</v>
      </c>
      <c r="Q296" s="15" t="s">
        <v>1089</v>
      </c>
      <c r="R296" s="15" t="n">
        <v>-0.979532612701142</v>
      </c>
      <c r="S296" s="15" t="s">
        <v>1089</v>
      </c>
      <c r="T296" s="15" t="s">
        <v>1090</v>
      </c>
      <c r="U296" s="56" t="s">
        <v>1487</v>
      </c>
      <c r="V296" s="15" t="n">
        <v>2326</v>
      </c>
      <c r="W296" s="15" t="n">
        <v>1333</v>
      </c>
      <c r="X296" s="15" t="s">
        <v>1326</v>
      </c>
      <c r="Y296" s="15" t="n">
        <v>-0.426913155631986</v>
      </c>
    </row>
    <row r="297" customFormat="false" ht="25" hidden="true" customHeight="false" outlineLevel="0" collapsed="false">
      <c r="A297" s="15" t="s">
        <v>1471</v>
      </c>
      <c r="B297" s="15" t="s">
        <v>1328</v>
      </c>
      <c r="C297" s="15" t="n">
        <v>2014</v>
      </c>
      <c r="D297" s="15" t="s">
        <v>132</v>
      </c>
      <c r="F297" s="15" t="s">
        <v>1486</v>
      </c>
      <c r="H297" s="15" t="s">
        <v>1365</v>
      </c>
      <c r="I297" s="16" t="n">
        <v>0.0348</v>
      </c>
      <c r="J297" s="16" t="n">
        <v>0.0634</v>
      </c>
      <c r="K297" s="15" t="s">
        <v>1361</v>
      </c>
      <c r="L297" s="16" t="n">
        <v>80.9448</v>
      </c>
      <c r="M297" s="16" t="n">
        <v>84.5122</v>
      </c>
      <c r="N297" s="15" t="s">
        <v>1362</v>
      </c>
      <c r="P297" s="15" t="n">
        <v>0.82183908045977</v>
      </c>
      <c r="Q297" s="15" t="s">
        <v>1089</v>
      </c>
      <c r="R297" s="15" t="n">
        <v>0.0440720095670135</v>
      </c>
      <c r="S297" s="15" t="s">
        <v>1089</v>
      </c>
      <c r="T297" s="15" t="s">
        <v>1090</v>
      </c>
      <c r="U297" s="56" t="s">
        <v>1487</v>
      </c>
      <c r="V297" s="15" t="n">
        <v>2326</v>
      </c>
      <c r="W297" s="15" t="n">
        <v>1333</v>
      </c>
      <c r="X297" s="15" t="s">
        <v>1326</v>
      </c>
      <c r="Y297" s="15" t="n">
        <v>-0.426913155631986</v>
      </c>
    </row>
    <row r="298" customFormat="false" ht="25" hidden="true" customHeight="false" outlineLevel="0" collapsed="false">
      <c r="A298" s="15" t="s">
        <v>1471</v>
      </c>
      <c r="B298" s="15" t="s">
        <v>1328</v>
      </c>
      <c r="C298" s="15" t="n">
        <v>2015</v>
      </c>
      <c r="D298" s="15" t="s">
        <v>132</v>
      </c>
      <c r="F298" s="15" t="s">
        <v>1486</v>
      </c>
      <c r="H298" s="15" t="s">
        <v>1366</v>
      </c>
      <c r="I298" s="16" t="n">
        <v>0.1856</v>
      </c>
      <c r="J298" s="16" t="n">
        <v>0.0046</v>
      </c>
      <c r="K298" s="15" t="s">
        <v>1361</v>
      </c>
      <c r="L298" s="16" t="n">
        <v>431.7056</v>
      </c>
      <c r="M298" s="16" t="n">
        <v>6.1318</v>
      </c>
      <c r="N298" s="15" t="s">
        <v>1362</v>
      </c>
      <c r="P298" s="15" t="n">
        <v>-0.975215517241379</v>
      </c>
      <c r="Q298" s="15" t="s">
        <v>1089</v>
      </c>
      <c r="R298" s="15" t="n">
        <v>-0.985796338986569</v>
      </c>
      <c r="S298" s="15" t="s">
        <v>1089</v>
      </c>
      <c r="T298" s="15" t="s">
        <v>1090</v>
      </c>
      <c r="U298" s="56" t="s">
        <v>1487</v>
      </c>
      <c r="V298" s="15" t="n">
        <v>2326</v>
      </c>
      <c r="W298" s="15" t="n">
        <v>1333</v>
      </c>
      <c r="X298" s="15" t="s">
        <v>1326</v>
      </c>
      <c r="Y298" s="15" t="n">
        <v>-0.426913155631986</v>
      </c>
    </row>
    <row r="299" customFormat="false" ht="25" hidden="true" customHeight="false" outlineLevel="0" collapsed="false">
      <c r="A299" s="15" t="s">
        <v>1471</v>
      </c>
      <c r="B299" s="15" t="s">
        <v>1328</v>
      </c>
      <c r="C299" s="15" t="n">
        <v>2016</v>
      </c>
      <c r="D299" s="15" t="s">
        <v>132</v>
      </c>
      <c r="F299" s="15" t="s">
        <v>1486</v>
      </c>
      <c r="H299" s="15" t="s">
        <v>1368</v>
      </c>
      <c r="I299" s="16" t="n">
        <v>1.13</v>
      </c>
      <c r="J299" s="16" t="n">
        <v>1.1</v>
      </c>
      <c r="K299" s="15" t="s">
        <v>1361</v>
      </c>
      <c r="L299" s="16" t="n">
        <v>2628.38</v>
      </c>
      <c r="M299" s="16" t="n">
        <v>1466.3</v>
      </c>
      <c r="N299" s="15" t="s">
        <v>1369</v>
      </c>
      <c r="P299" s="15" t="n">
        <v>-0.0265486725663715</v>
      </c>
      <c r="Q299" s="15" t="s">
        <v>1089</v>
      </c>
      <c r="R299" s="15" t="n">
        <v>-0.442127850615208</v>
      </c>
      <c r="S299" s="15" t="s">
        <v>1089</v>
      </c>
      <c r="T299" s="15" t="s">
        <v>1090</v>
      </c>
      <c r="U299" s="56" t="s">
        <v>1487</v>
      </c>
      <c r="V299" s="15" t="n">
        <v>2326</v>
      </c>
      <c r="W299" s="15" t="n">
        <v>1333</v>
      </c>
      <c r="X299" s="15" t="s">
        <v>1326</v>
      </c>
      <c r="Y299" s="15" t="n">
        <v>-0.426913155631986</v>
      </c>
    </row>
    <row r="300" customFormat="false" ht="25" hidden="true" customHeight="false" outlineLevel="0" collapsed="false">
      <c r="A300" s="15" t="s">
        <v>1471</v>
      </c>
      <c r="B300" s="15" t="s">
        <v>1328</v>
      </c>
      <c r="C300" s="15" t="n">
        <v>2017</v>
      </c>
      <c r="D300" s="15" t="s">
        <v>132</v>
      </c>
      <c r="F300" s="15" t="s">
        <v>1486</v>
      </c>
      <c r="H300" s="15" t="s">
        <v>1370</v>
      </c>
      <c r="I300" s="16" t="n">
        <v>0.07</v>
      </c>
      <c r="J300" s="16" t="s">
        <v>1371</v>
      </c>
      <c r="K300" s="15" t="s">
        <v>1361</v>
      </c>
      <c r="L300" s="16" t="n">
        <v>162.82</v>
      </c>
      <c r="M300" s="16" t="n">
        <v>13.33</v>
      </c>
      <c r="N300" s="15" t="s">
        <v>1362</v>
      </c>
      <c r="P300" s="15" t="n">
        <v>-0.857142857142857</v>
      </c>
      <c r="Q300" s="15" t="s">
        <v>1089</v>
      </c>
      <c r="R300" s="15" t="n">
        <v>-0.91813045080457</v>
      </c>
      <c r="S300" s="15" t="s">
        <v>1089</v>
      </c>
      <c r="T300" s="15" t="s">
        <v>1090</v>
      </c>
      <c r="U300" s="56" t="s">
        <v>1487</v>
      </c>
      <c r="V300" s="15" t="n">
        <v>2326</v>
      </c>
      <c r="W300" s="15" t="n">
        <v>1333</v>
      </c>
      <c r="X300" s="15" t="s">
        <v>1326</v>
      </c>
      <c r="Y300" s="15" t="n">
        <v>-0.426913155631986</v>
      </c>
    </row>
    <row r="301" customFormat="false" ht="13.8" hidden="true" customHeight="false" outlineLevel="0" collapsed="false">
      <c r="A301" s="15" t="s">
        <v>1488</v>
      </c>
      <c r="B301" s="15" t="s">
        <v>1328</v>
      </c>
      <c r="C301" s="15" t="n">
        <v>2012</v>
      </c>
      <c r="D301" s="15" t="s">
        <v>144</v>
      </c>
      <c r="H301" s="15" t="s">
        <v>1157</v>
      </c>
      <c r="I301" s="16" t="n">
        <v>17.3</v>
      </c>
      <c r="J301" s="16" t="n">
        <v>26.9</v>
      </c>
      <c r="K301" s="15" t="s">
        <v>1329</v>
      </c>
      <c r="L301" s="16" t="n">
        <v>78628.5</v>
      </c>
      <c r="M301" s="16" t="n">
        <v>53800</v>
      </c>
      <c r="N301" s="15" t="s">
        <v>1216</v>
      </c>
      <c r="P301" s="15" t="n">
        <v>0.554913294797688</v>
      </c>
      <c r="Q301" s="15" t="s">
        <v>1089</v>
      </c>
      <c r="R301" s="15" t="n">
        <v>-0.315769727261743</v>
      </c>
      <c r="S301" s="15" t="s">
        <v>1089</v>
      </c>
      <c r="T301" s="15" t="s">
        <v>1090</v>
      </c>
      <c r="U301" s="15" t="s">
        <v>1489</v>
      </c>
      <c r="V301" s="15" t="n">
        <v>4545</v>
      </c>
      <c r="W301" s="15" t="n">
        <v>2000</v>
      </c>
      <c r="X301" s="15" t="s">
        <v>1490</v>
      </c>
      <c r="Y301" s="15" t="n">
        <v>-56</v>
      </c>
    </row>
    <row r="302" customFormat="false" ht="13.8" hidden="false" customHeight="false" outlineLevel="0" collapsed="false">
      <c r="A302" s="15" t="s">
        <v>1488</v>
      </c>
      <c r="B302" s="15" t="s">
        <v>1328</v>
      </c>
      <c r="C302" s="15" t="n">
        <v>2012</v>
      </c>
      <c r="D302" s="15" t="s">
        <v>144</v>
      </c>
      <c r="H302" s="15" t="s">
        <v>403</v>
      </c>
      <c r="I302" s="16" t="n">
        <v>1.6</v>
      </c>
      <c r="J302" s="16" t="n">
        <v>2.1</v>
      </c>
      <c r="K302" s="15" t="s">
        <v>1332</v>
      </c>
      <c r="L302" s="16" t="n">
        <v>7272</v>
      </c>
      <c r="M302" s="16" t="n">
        <v>4200</v>
      </c>
      <c r="N302" s="15" t="s">
        <v>1333</v>
      </c>
      <c r="P302" s="15" t="n">
        <v>0.3125</v>
      </c>
      <c r="Q302" s="15" t="s">
        <v>1089</v>
      </c>
      <c r="R302" s="15" t="n">
        <v>-0.422442244224422</v>
      </c>
      <c r="S302" s="15" t="s">
        <v>1089</v>
      </c>
      <c r="T302" s="15" t="s">
        <v>1090</v>
      </c>
      <c r="U302" s="15" t="s">
        <v>1489</v>
      </c>
      <c r="V302" s="15" t="n">
        <v>4545</v>
      </c>
      <c r="W302" s="15" t="n">
        <v>2000</v>
      </c>
      <c r="X302" s="15" t="s">
        <v>1490</v>
      </c>
      <c r="Y302" s="15" t="n">
        <v>-56</v>
      </c>
    </row>
    <row r="303" customFormat="false" ht="13.8" hidden="true" customHeight="false" outlineLevel="0" collapsed="false">
      <c r="A303" s="15" t="s">
        <v>1488</v>
      </c>
      <c r="B303" s="15" t="s">
        <v>1328</v>
      </c>
      <c r="C303" s="15" t="n">
        <v>2012</v>
      </c>
      <c r="D303" s="15" t="s">
        <v>144</v>
      </c>
      <c r="H303" s="15" t="s">
        <v>1334</v>
      </c>
      <c r="I303" s="16" t="n">
        <v>11.2</v>
      </c>
      <c r="J303" s="16" t="n">
        <v>13.2</v>
      </c>
      <c r="K303" s="15" t="s">
        <v>1335</v>
      </c>
      <c r="L303" s="16" t="n">
        <v>50904</v>
      </c>
      <c r="M303" s="16" t="n">
        <v>26400</v>
      </c>
      <c r="N303" s="15" t="s">
        <v>1336</v>
      </c>
      <c r="P303" s="15" t="n">
        <v>0.178571428571429</v>
      </c>
      <c r="Q303" s="15" t="s">
        <v>1089</v>
      </c>
      <c r="R303" s="15" t="n">
        <v>-0.481376709099481</v>
      </c>
      <c r="S303" s="15" t="s">
        <v>1089</v>
      </c>
      <c r="T303" s="15" t="s">
        <v>1090</v>
      </c>
      <c r="U303" s="15" t="s">
        <v>1489</v>
      </c>
      <c r="V303" s="15" t="n">
        <v>4545</v>
      </c>
      <c r="W303" s="15" t="n">
        <v>2000</v>
      </c>
      <c r="X303" s="15" t="s">
        <v>1490</v>
      </c>
      <c r="Y303" s="15" t="n">
        <v>-56</v>
      </c>
    </row>
    <row r="304" customFormat="false" ht="13.8" hidden="true" customHeight="false" outlineLevel="0" collapsed="false">
      <c r="A304" s="15" t="s">
        <v>1488</v>
      </c>
      <c r="B304" s="15" t="s">
        <v>1328</v>
      </c>
      <c r="C304" s="15" t="n">
        <v>2012</v>
      </c>
      <c r="D304" s="15" t="s">
        <v>144</v>
      </c>
      <c r="H304" s="15" t="s">
        <v>1337</v>
      </c>
      <c r="I304" s="16" t="n">
        <v>0.001</v>
      </c>
      <c r="J304" s="16" t="n">
        <v>0.001</v>
      </c>
      <c r="K304" s="15" t="s">
        <v>1338</v>
      </c>
      <c r="L304" s="16" t="n">
        <v>4.545</v>
      </c>
      <c r="M304" s="16" t="n">
        <v>2</v>
      </c>
      <c r="N304" s="15" t="s">
        <v>1339</v>
      </c>
      <c r="P304" s="15" t="n">
        <v>0</v>
      </c>
      <c r="Q304" s="15" t="s">
        <v>1089</v>
      </c>
      <c r="R304" s="15" t="n">
        <v>-0.55995599559956</v>
      </c>
      <c r="S304" s="15" t="s">
        <v>1089</v>
      </c>
      <c r="T304" s="15" t="s">
        <v>1090</v>
      </c>
      <c r="U304" s="15" t="s">
        <v>1489</v>
      </c>
      <c r="V304" s="15" t="n">
        <v>4545</v>
      </c>
      <c r="W304" s="15" t="n">
        <v>2000</v>
      </c>
      <c r="X304" s="15" t="s">
        <v>1490</v>
      </c>
      <c r="Y304" s="15" t="n">
        <v>-0.55995599559956</v>
      </c>
    </row>
    <row r="305" customFormat="false" ht="13.8" hidden="true" customHeight="false" outlineLevel="0" collapsed="false">
      <c r="A305" s="15" t="s">
        <v>1488</v>
      </c>
      <c r="B305" s="15" t="s">
        <v>1328</v>
      </c>
      <c r="C305" s="15" t="n">
        <v>2012</v>
      </c>
      <c r="D305" s="15" t="s">
        <v>144</v>
      </c>
      <c r="H305" s="15" t="s">
        <v>1181</v>
      </c>
      <c r="I305" s="16" t="n">
        <v>0.0051</v>
      </c>
      <c r="J305" s="16" t="n">
        <v>0.0017</v>
      </c>
      <c r="K305" s="15" t="s">
        <v>1340</v>
      </c>
      <c r="L305" s="16" t="n">
        <v>23.1795</v>
      </c>
      <c r="M305" s="16" t="n">
        <v>3.4</v>
      </c>
      <c r="N305" s="15" t="s">
        <v>1341</v>
      </c>
      <c r="P305" s="15" t="n">
        <v>-0.666666666666667</v>
      </c>
      <c r="Q305" s="15" t="s">
        <v>1089</v>
      </c>
      <c r="R305" s="15" t="n">
        <v>-0.853318665199853</v>
      </c>
      <c r="S305" s="15" t="s">
        <v>1089</v>
      </c>
      <c r="T305" s="15" t="s">
        <v>1090</v>
      </c>
      <c r="U305" s="15" t="s">
        <v>1489</v>
      </c>
      <c r="V305" s="15" t="n">
        <v>4545</v>
      </c>
      <c r="W305" s="15" t="n">
        <v>2000</v>
      </c>
      <c r="X305" s="15" t="s">
        <v>1490</v>
      </c>
      <c r="Y305" s="15" t="n">
        <v>-0.55995599559956</v>
      </c>
    </row>
    <row r="306" customFormat="false" ht="13.8" hidden="true" customHeight="false" outlineLevel="0" collapsed="false">
      <c r="A306" s="15" t="s">
        <v>1488</v>
      </c>
      <c r="B306" s="15" t="s">
        <v>1328</v>
      </c>
      <c r="C306" s="15" t="n">
        <v>2012</v>
      </c>
      <c r="D306" s="15" t="s">
        <v>144</v>
      </c>
      <c r="H306" s="15" t="s">
        <v>1184</v>
      </c>
      <c r="I306" s="16" t="n">
        <v>0.0065</v>
      </c>
      <c r="J306" s="16" t="n">
        <v>0.0002</v>
      </c>
      <c r="K306" s="15" t="s">
        <v>1340</v>
      </c>
      <c r="L306" s="16" t="n">
        <v>29.5425</v>
      </c>
      <c r="M306" s="16" t="n">
        <v>0.4</v>
      </c>
      <c r="N306" s="15" t="s">
        <v>1341</v>
      </c>
      <c r="P306" s="15" t="n">
        <v>-0.969230769230769</v>
      </c>
      <c r="Q306" s="15" t="s">
        <v>1089</v>
      </c>
      <c r="R306" s="15" t="n">
        <v>-0.986460184479987</v>
      </c>
      <c r="S306" s="15" t="s">
        <v>1089</v>
      </c>
      <c r="T306" s="15" t="s">
        <v>1090</v>
      </c>
      <c r="U306" s="15" t="s">
        <v>1489</v>
      </c>
      <c r="V306" s="15" t="n">
        <v>4545</v>
      </c>
      <c r="W306" s="15" t="n">
        <v>2000</v>
      </c>
      <c r="X306" s="15" t="s">
        <v>1490</v>
      </c>
      <c r="Y306" s="15" t="n">
        <v>-0.55995599559956</v>
      </c>
    </row>
    <row r="307" customFormat="false" ht="13.8" hidden="true" customHeight="false" outlineLevel="0" collapsed="false">
      <c r="A307" s="15" t="s">
        <v>1488</v>
      </c>
      <c r="B307" s="15" t="s">
        <v>1328</v>
      </c>
      <c r="C307" s="15" t="n">
        <v>2012</v>
      </c>
      <c r="D307" s="15" t="s">
        <v>144</v>
      </c>
      <c r="H307" s="15" t="s">
        <v>1153</v>
      </c>
      <c r="I307" s="16" t="n">
        <v>2.2</v>
      </c>
      <c r="J307" s="16" t="n">
        <v>5</v>
      </c>
      <c r="K307" s="15" t="s">
        <v>1342</v>
      </c>
      <c r="L307" s="16" t="s">
        <v>628</v>
      </c>
      <c r="M307" s="16" t="s">
        <v>628</v>
      </c>
      <c r="N307" s="15" t="s">
        <v>1343</v>
      </c>
      <c r="P307" s="15" t="n">
        <v>1.27272727272727</v>
      </c>
      <c r="Q307" s="15" t="s">
        <v>1089</v>
      </c>
      <c r="R307" s="15" t="s">
        <v>628</v>
      </c>
      <c r="S307" s="15" t="s">
        <v>1089</v>
      </c>
      <c r="T307" s="15" t="s">
        <v>1090</v>
      </c>
      <c r="U307" s="15" t="s">
        <v>1489</v>
      </c>
      <c r="V307" s="15" t="n">
        <v>4545</v>
      </c>
      <c r="W307" s="15" t="n">
        <v>2000</v>
      </c>
      <c r="X307" s="15" t="s">
        <v>1490</v>
      </c>
      <c r="Y307" s="15" t="n">
        <v>-0.55995599559956</v>
      </c>
    </row>
    <row r="308" customFormat="false" ht="13.8" hidden="true" customHeight="false" outlineLevel="0" collapsed="false">
      <c r="A308" s="15" t="s">
        <v>1488</v>
      </c>
      <c r="B308" s="15" t="s">
        <v>1328</v>
      </c>
      <c r="C308" s="15" t="n">
        <v>2012</v>
      </c>
      <c r="D308" s="15" t="s">
        <v>144</v>
      </c>
      <c r="H308" s="15" t="s">
        <v>1344</v>
      </c>
      <c r="I308" s="16" t="n">
        <v>2.1</v>
      </c>
      <c r="J308" s="16" t="n">
        <v>4.7</v>
      </c>
      <c r="K308" s="15" t="s">
        <v>1342</v>
      </c>
      <c r="L308" s="16" t="n">
        <v>9544.5</v>
      </c>
      <c r="M308" s="16" t="n">
        <v>9400</v>
      </c>
      <c r="N308" s="15" t="s">
        <v>1345</v>
      </c>
      <c r="P308" s="15" t="n">
        <v>1.23809523809524</v>
      </c>
      <c r="Q308" s="15" t="s">
        <v>1089</v>
      </c>
      <c r="R308" s="15" t="n">
        <v>-0.0151396091990151</v>
      </c>
      <c r="S308" s="15" t="s">
        <v>1089</v>
      </c>
      <c r="T308" s="15" t="s">
        <v>1090</v>
      </c>
      <c r="U308" s="15" t="s">
        <v>1489</v>
      </c>
      <c r="V308" s="15" t="n">
        <v>4545</v>
      </c>
      <c r="W308" s="15" t="n">
        <v>2000</v>
      </c>
      <c r="X308" s="15" t="s">
        <v>1490</v>
      </c>
      <c r="Y308" s="15" t="n">
        <v>-0.55995599559956</v>
      </c>
    </row>
    <row r="309" customFormat="false" ht="13.8" hidden="true" customHeight="false" outlineLevel="0" collapsed="false">
      <c r="A309" s="15" t="s">
        <v>1488</v>
      </c>
      <c r="B309" s="15" t="s">
        <v>1328</v>
      </c>
      <c r="C309" s="15" t="n">
        <v>2012</v>
      </c>
      <c r="D309" s="15" t="s">
        <v>144</v>
      </c>
      <c r="H309" s="15" t="s">
        <v>1346</v>
      </c>
      <c r="I309" s="16" t="n">
        <v>0.0012</v>
      </c>
      <c r="J309" s="16" t="n">
        <v>0.0002</v>
      </c>
      <c r="K309" s="15" t="s">
        <v>1347</v>
      </c>
      <c r="L309" s="16" t="n">
        <v>5.454</v>
      </c>
      <c r="M309" s="16" t="n">
        <v>0.4</v>
      </c>
      <c r="N309" s="15" t="s">
        <v>1348</v>
      </c>
      <c r="P309" s="15" t="n">
        <v>-0.833333333333333</v>
      </c>
      <c r="Q309" s="15" t="s">
        <v>1089</v>
      </c>
      <c r="R309" s="15" t="n">
        <v>-0.926659332599927</v>
      </c>
      <c r="S309" s="15" t="s">
        <v>1089</v>
      </c>
      <c r="T309" s="15" t="s">
        <v>1090</v>
      </c>
      <c r="U309" s="15" t="s">
        <v>1489</v>
      </c>
      <c r="V309" s="15" t="n">
        <v>4545</v>
      </c>
      <c r="W309" s="15" t="n">
        <v>2000</v>
      </c>
      <c r="X309" s="15" t="s">
        <v>1490</v>
      </c>
      <c r="Y309" s="15" t="n">
        <v>-0.55995599559956</v>
      </c>
    </row>
    <row r="310" customFormat="false" ht="13.8" hidden="true" customHeight="false" outlineLevel="0" collapsed="false">
      <c r="A310" s="15" t="s">
        <v>1488</v>
      </c>
      <c r="B310" s="15" t="s">
        <v>1328</v>
      </c>
      <c r="C310" s="15" t="n">
        <v>2012</v>
      </c>
      <c r="D310" s="15" t="s">
        <v>144</v>
      </c>
      <c r="H310" s="15" t="s">
        <v>1349</v>
      </c>
      <c r="I310" s="16" t="n">
        <v>0.158</v>
      </c>
      <c r="J310" s="16" t="n">
        <v>0.024</v>
      </c>
      <c r="K310" s="15" t="s">
        <v>1350</v>
      </c>
      <c r="L310" s="16" t="n">
        <v>718.11</v>
      </c>
      <c r="M310" s="16" t="n">
        <v>48</v>
      </c>
      <c r="N310" s="15" t="s">
        <v>1351</v>
      </c>
      <c r="P310" s="15" t="n">
        <v>-0.848101265822785</v>
      </c>
      <c r="Q310" s="15" t="s">
        <v>1089</v>
      </c>
      <c r="R310" s="15" t="n">
        <v>-0.9331578727493</v>
      </c>
      <c r="S310" s="15" t="s">
        <v>1089</v>
      </c>
      <c r="T310" s="15" t="s">
        <v>1090</v>
      </c>
      <c r="U310" s="15" t="s">
        <v>1489</v>
      </c>
      <c r="V310" s="15" t="n">
        <v>4545</v>
      </c>
      <c r="W310" s="15" t="n">
        <v>2000</v>
      </c>
      <c r="X310" s="15" t="s">
        <v>1490</v>
      </c>
      <c r="Y310" s="15" t="n">
        <v>-0.55995599559956</v>
      </c>
    </row>
    <row r="311" customFormat="false" ht="13.8" hidden="true" customHeight="false" outlineLevel="0" collapsed="false">
      <c r="A311" s="15" t="s">
        <v>1488</v>
      </c>
      <c r="B311" s="15" t="s">
        <v>1328</v>
      </c>
      <c r="C311" s="15" t="n">
        <v>2012</v>
      </c>
      <c r="D311" s="15" t="s">
        <v>144</v>
      </c>
      <c r="H311" s="15" t="s">
        <v>1352</v>
      </c>
      <c r="I311" s="16" t="n">
        <v>0.5</v>
      </c>
      <c r="J311" s="16" t="n">
        <v>1.2</v>
      </c>
      <c r="K311" s="15" t="s">
        <v>1347</v>
      </c>
      <c r="L311" s="16" t="n">
        <v>2272.5</v>
      </c>
      <c r="M311" s="16" t="n">
        <v>2400</v>
      </c>
      <c r="N311" s="15" t="s">
        <v>1348</v>
      </c>
      <c r="P311" s="15" t="n">
        <v>1.4</v>
      </c>
      <c r="Q311" s="15" t="s">
        <v>1089</v>
      </c>
      <c r="R311" s="15" t="n">
        <v>0.056105610561056</v>
      </c>
      <c r="S311" s="15" t="s">
        <v>1089</v>
      </c>
      <c r="T311" s="15" t="s">
        <v>1090</v>
      </c>
      <c r="U311" s="15" t="s">
        <v>1489</v>
      </c>
      <c r="V311" s="15" t="n">
        <v>4545</v>
      </c>
      <c r="W311" s="15" t="n">
        <v>2000</v>
      </c>
      <c r="X311" s="15" t="s">
        <v>1490</v>
      </c>
      <c r="Y311" s="15" t="n">
        <v>-0.55995599559956</v>
      </c>
    </row>
    <row r="312" customFormat="false" ht="13.8" hidden="true" customHeight="false" outlineLevel="0" collapsed="false">
      <c r="A312" s="15" t="s">
        <v>1488</v>
      </c>
      <c r="B312" s="15" t="s">
        <v>1328</v>
      </c>
      <c r="C312" s="15" t="n">
        <v>2012</v>
      </c>
      <c r="D312" s="15" t="s">
        <v>144</v>
      </c>
      <c r="H312" s="15" t="s">
        <v>1353</v>
      </c>
      <c r="I312" s="16" t="n">
        <v>0.01</v>
      </c>
      <c r="J312" s="16" t="n">
        <v>0.02</v>
      </c>
      <c r="K312" s="15" t="s">
        <v>1354</v>
      </c>
      <c r="L312" s="16" t="n">
        <v>45.45</v>
      </c>
      <c r="M312" s="16" t="n">
        <v>40</v>
      </c>
      <c r="N312" s="15" t="s">
        <v>1355</v>
      </c>
      <c r="P312" s="15" t="n">
        <v>1</v>
      </c>
      <c r="Q312" s="15" t="s">
        <v>1089</v>
      </c>
      <c r="R312" s="15" t="n">
        <v>-0.11991199119912</v>
      </c>
      <c r="S312" s="15" t="s">
        <v>1089</v>
      </c>
      <c r="T312" s="15" t="s">
        <v>1090</v>
      </c>
      <c r="U312" s="15" t="s">
        <v>1489</v>
      </c>
      <c r="V312" s="15" t="n">
        <v>4545</v>
      </c>
      <c r="W312" s="15" t="n">
        <v>2000</v>
      </c>
      <c r="X312" s="15" t="s">
        <v>1490</v>
      </c>
      <c r="Y312" s="15" t="n">
        <v>-0.55995599559956</v>
      </c>
    </row>
    <row r="313" customFormat="false" ht="13.8" hidden="true" customHeight="false" outlineLevel="0" collapsed="false">
      <c r="A313" s="15" t="s">
        <v>1488</v>
      </c>
      <c r="B313" s="15" t="s">
        <v>1328</v>
      </c>
      <c r="C313" s="15" t="n">
        <v>2012</v>
      </c>
      <c r="D313" s="15" t="s">
        <v>144</v>
      </c>
      <c r="H313" s="15" t="s">
        <v>1356</v>
      </c>
      <c r="I313" s="16" t="n">
        <v>0.0003</v>
      </c>
      <c r="J313" s="16" t="n">
        <v>0.0003</v>
      </c>
      <c r="K313" s="15" t="s">
        <v>1357</v>
      </c>
      <c r="L313" s="16" t="n">
        <v>1.3635</v>
      </c>
      <c r="M313" s="16" t="n">
        <v>0.6</v>
      </c>
      <c r="N313" s="15" t="s">
        <v>1358</v>
      </c>
      <c r="P313" s="15" t="n">
        <v>0</v>
      </c>
      <c r="Q313" s="15" t="s">
        <v>1089</v>
      </c>
      <c r="R313" s="15" t="n">
        <v>-0.55995599559956</v>
      </c>
      <c r="S313" s="15" t="s">
        <v>1089</v>
      </c>
      <c r="T313" s="15" t="s">
        <v>1090</v>
      </c>
      <c r="U313" s="15" t="s">
        <v>1489</v>
      </c>
      <c r="V313" s="15" t="n">
        <v>4545</v>
      </c>
      <c r="W313" s="15" t="n">
        <v>2000</v>
      </c>
      <c r="X313" s="15" t="s">
        <v>1490</v>
      </c>
      <c r="Y313" s="15" t="n">
        <v>-0.55995599559956</v>
      </c>
    </row>
    <row r="314" customFormat="false" ht="13.8" hidden="true" customHeight="false" outlineLevel="0" collapsed="false">
      <c r="A314" s="15" t="s">
        <v>1488</v>
      </c>
      <c r="B314" s="15" t="s">
        <v>1328</v>
      </c>
      <c r="C314" s="15" t="n">
        <v>2012</v>
      </c>
      <c r="D314" s="15" t="s">
        <v>144</v>
      </c>
      <c r="H314" s="15" t="s">
        <v>1491</v>
      </c>
      <c r="I314" s="16" t="n">
        <v>0.2</v>
      </c>
      <c r="J314" s="16" t="n">
        <v>0.4</v>
      </c>
      <c r="K314" s="15" t="s">
        <v>1359</v>
      </c>
      <c r="L314" s="16" t="n">
        <v>909</v>
      </c>
      <c r="M314" s="16" t="n">
        <v>800</v>
      </c>
      <c r="N314" s="15" t="s">
        <v>1359</v>
      </c>
      <c r="P314" s="15" t="n">
        <v>1</v>
      </c>
      <c r="Q314" s="15" t="s">
        <v>1089</v>
      </c>
      <c r="R314" s="15" t="n">
        <v>-0.11991199119912</v>
      </c>
      <c r="S314" s="15" t="s">
        <v>1089</v>
      </c>
      <c r="T314" s="15" t="s">
        <v>1090</v>
      </c>
      <c r="U314" s="15" t="s">
        <v>1489</v>
      </c>
      <c r="V314" s="15" t="n">
        <v>4545</v>
      </c>
      <c r="W314" s="15" t="n">
        <v>2000</v>
      </c>
      <c r="X314" s="15" t="s">
        <v>1490</v>
      </c>
      <c r="Y314" s="15" t="n">
        <v>-0.55995599559956</v>
      </c>
    </row>
    <row r="315" customFormat="false" ht="13.8" hidden="true" customHeight="false" outlineLevel="0" collapsed="false">
      <c r="A315" s="15" t="s">
        <v>1488</v>
      </c>
      <c r="B315" s="15" t="s">
        <v>1328</v>
      </c>
      <c r="C315" s="15" t="n">
        <v>2012</v>
      </c>
      <c r="D315" s="15" t="s">
        <v>144</v>
      </c>
      <c r="H315" s="15" t="s">
        <v>1360</v>
      </c>
      <c r="I315" s="16" t="n">
        <v>0.0021</v>
      </c>
      <c r="J315" s="16" t="n">
        <v>0.0053</v>
      </c>
      <c r="K315" s="15" t="s">
        <v>1361</v>
      </c>
      <c r="L315" s="16" t="n">
        <v>9.5445</v>
      </c>
      <c r="M315" s="16" t="n">
        <v>10.6</v>
      </c>
      <c r="N315" s="15" t="s">
        <v>1362</v>
      </c>
      <c r="P315" s="15" t="n">
        <v>1.52380952380952</v>
      </c>
      <c r="Q315" s="15" t="s">
        <v>1089</v>
      </c>
      <c r="R315" s="15" t="n">
        <v>0.110587249201111</v>
      </c>
      <c r="S315" s="15" t="s">
        <v>1089</v>
      </c>
      <c r="T315" s="15" t="s">
        <v>1090</v>
      </c>
      <c r="U315" s="15" t="s">
        <v>1489</v>
      </c>
      <c r="V315" s="15" t="n">
        <v>4545</v>
      </c>
      <c r="W315" s="15" t="n">
        <v>2000</v>
      </c>
      <c r="X315" s="15" t="s">
        <v>1490</v>
      </c>
      <c r="Y315" s="15" t="n">
        <v>-0.55995599559956</v>
      </c>
    </row>
    <row r="316" customFormat="false" ht="13.8" hidden="true" customHeight="false" outlineLevel="0" collapsed="false">
      <c r="A316" s="15" t="s">
        <v>1488</v>
      </c>
      <c r="B316" s="15" t="s">
        <v>1328</v>
      </c>
      <c r="C316" s="15" t="n">
        <v>2012</v>
      </c>
      <c r="D316" s="15" t="s">
        <v>144</v>
      </c>
      <c r="H316" s="15" t="s">
        <v>1363</v>
      </c>
      <c r="I316" s="16" t="n">
        <v>0.0043</v>
      </c>
      <c r="J316" s="16" t="n">
        <v>0.0001</v>
      </c>
      <c r="K316" s="15" t="s">
        <v>1361</v>
      </c>
      <c r="L316" s="16" t="n">
        <v>19.5435</v>
      </c>
      <c r="M316" s="16" t="n">
        <v>0.2</v>
      </c>
      <c r="N316" s="15" t="s">
        <v>1362</v>
      </c>
      <c r="P316" s="15" t="n">
        <v>-0.976744186046512</v>
      </c>
      <c r="Q316" s="15" t="s">
        <v>1089</v>
      </c>
      <c r="R316" s="15" t="n">
        <v>-0.989766418502315</v>
      </c>
      <c r="S316" s="15" t="s">
        <v>1089</v>
      </c>
      <c r="T316" s="15" t="s">
        <v>1090</v>
      </c>
      <c r="U316" s="15" t="s">
        <v>1489</v>
      </c>
      <c r="V316" s="15" t="n">
        <v>4545</v>
      </c>
      <c r="W316" s="15" t="n">
        <v>2000</v>
      </c>
      <c r="X316" s="15" t="s">
        <v>1490</v>
      </c>
      <c r="Y316" s="15" t="n">
        <v>-0.55995599559956</v>
      </c>
    </row>
    <row r="317" customFormat="false" ht="13.8" hidden="true" customHeight="false" outlineLevel="0" collapsed="false">
      <c r="A317" s="15" t="s">
        <v>1488</v>
      </c>
      <c r="B317" s="15" t="s">
        <v>1328</v>
      </c>
      <c r="C317" s="15" t="n">
        <v>2012</v>
      </c>
      <c r="D317" s="15" t="s">
        <v>144</v>
      </c>
      <c r="H317" s="15" t="s">
        <v>1365</v>
      </c>
      <c r="I317" s="16" t="n">
        <v>0.023</v>
      </c>
      <c r="J317" s="16" t="n">
        <v>0.025</v>
      </c>
      <c r="K317" s="15" t="s">
        <v>1361</v>
      </c>
      <c r="L317" s="16" t="n">
        <v>104.535</v>
      </c>
      <c r="M317" s="16" t="n">
        <v>50</v>
      </c>
      <c r="N317" s="15" t="s">
        <v>1362</v>
      </c>
      <c r="P317" s="15" t="n">
        <v>0.0869565217391306</v>
      </c>
      <c r="Q317" s="15" t="s">
        <v>1089</v>
      </c>
      <c r="R317" s="15" t="n">
        <v>-0.521691299564739</v>
      </c>
      <c r="S317" s="15" t="s">
        <v>1089</v>
      </c>
      <c r="T317" s="15" t="s">
        <v>1090</v>
      </c>
      <c r="U317" s="15" t="s">
        <v>1489</v>
      </c>
      <c r="V317" s="15" t="n">
        <v>4545</v>
      </c>
      <c r="W317" s="15" t="n">
        <v>2000</v>
      </c>
      <c r="X317" s="15" t="s">
        <v>1490</v>
      </c>
      <c r="Y317" s="15" t="n">
        <v>-0.55995599559956</v>
      </c>
    </row>
    <row r="318" customFormat="false" ht="13.8" hidden="true" customHeight="false" outlineLevel="0" collapsed="false">
      <c r="A318" s="15" t="s">
        <v>1488</v>
      </c>
      <c r="B318" s="15" t="s">
        <v>1328</v>
      </c>
      <c r="C318" s="15" t="n">
        <v>2012</v>
      </c>
      <c r="D318" s="15" t="s">
        <v>144</v>
      </c>
      <c r="H318" s="15" t="s">
        <v>1366</v>
      </c>
      <c r="I318" s="16" t="n">
        <v>0.145</v>
      </c>
      <c r="J318" s="16" t="n">
        <v>0.001</v>
      </c>
      <c r="K318" s="15" t="s">
        <v>1361</v>
      </c>
      <c r="L318" s="16" t="n">
        <v>659.025</v>
      </c>
      <c r="M318" s="16" t="n">
        <v>2</v>
      </c>
      <c r="N318" s="15" t="s">
        <v>1362</v>
      </c>
      <c r="P318" s="15" t="n">
        <v>-0.993103448275862</v>
      </c>
      <c r="Q318" s="15" t="s">
        <v>1089</v>
      </c>
      <c r="R318" s="15" t="n">
        <v>-0.996965213762756</v>
      </c>
      <c r="S318" s="15" t="s">
        <v>1089</v>
      </c>
      <c r="T318" s="15" t="s">
        <v>1090</v>
      </c>
      <c r="U318" s="15" t="s">
        <v>1489</v>
      </c>
      <c r="V318" s="15" t="n">
        <v>4545</v>
      </c>
      <c r="W318" s="15" t="n">
        <v>2000</v>
      </c>
      <c r="X318" s="15" t="s">
        <v>1490</v>
      </c>
      <c r="Y318" s="15" t="n">
        <v>-0.55995599559956</v>
      </c>
    </row>
    <row r="319" customFormat="false" ht="13.8" hidden="true" customHeight="false" outlineLevel="0" collapsed="false">
      <c r="A319" s="15" t="s">
        <v>1488</v>
      </c>
      <c r="B319" s="15" t="s">
        <v>1328</v>
      </c>
      <c r="C319" s="15" t="n">
        <v>2012</v>
      </c>
      <c r="D319" s="15" t="s">
        <v>144</v>
      </c>
      <c r="H319" s="15" t="s">
        <v>1368</v>
      </c>
      <c r="I319" s="16" t="n">
        <v>0.42</v>
      </c>
      <c r="J319" s="16" t="n">
        <v>0.62</v>
      </c>
      <c r="K319" s="15" t="s">
        <v>1361</v>
      </c>
      <c r="L319" s="16" t="n">
        <v>1908.9</v>
      </c>
      <c r="M319" s="16" t="n">
        <v>1240</v>
      </c>
      <c r="N319" s="15" t="s">
        <v>1369</v>
      </c>
      <c r="P319" s="15" t="n">
        <v>0.476190476190476</v>
      </c>
      <c r="Q319" s="15" t="s">
        <v>1089</v>
      </c>
      <c r="R319" s="15" t="n">
        <v>-0.35041123159935</v>
      </c>
      <c r="S319" s="15" t="s">
        <v>1089</v>
      </c>
      <c r="T319" s="15" t="s">
        <v>1090</v>
      </c>
      <c r="U319" s="15" t="s">
        <v>1489</v>
      </c>
      <c r="V319" s="15" t="n">
        <v>4545</v>
      </c>
      <c r="W319" s="15" t="n">
        <v>2000</v>
      </c>
      <c r="X319" s="15" t="s">
        <v>1490</v>
      </c>
      <c r="Y319" s="15" t="n">
        <v>-0.55995599559956</v>
      </c>
    </row>
    <row r="320" customFormat="false" ht="13.8" hidden="true" customHeight="false" outlineLevel="0" collapsed="false">
      <c r="A320" s="15" t="s">
        <v>1488</v>
      </c>
      <c r="B320" s="15" t="s">
        <v>1328</v>
      </c>
      <c r="C320" s="15" t="n">
        <v>2012</v>
      </c>
      <c r="D320" s="15" t="s">
        <v>144</v>
      </c>
      <c r="H320" s="15" t="s">
        <v>1370</v>
      </c>
      <c r="I320" s="16" t="n">
        <v>0.06</v>
      </c>
      <c r="J320" s="16" t="s">
        <v>1371</v>
      </c>
      <c r="K320" s="15" t="s">
        <v>1361</v>
      </c>
      <c r="L320" s="16" t="n">
        <v>272.7</v>
      </c>
      <c r="M320" s="16" t="n">
        <v>20</v>
      </c>
      <c r="N320" s="15" t="s">
        <v>1362</v>
      </c>
      <c r="P320" s="15" t="n">
        <v>-0.833333333333333</v>
      </c>
      <c r="Q320" s="15" t="s">
        <v>1089</v>
      </c>
      <c r="R320" s="15" t="n">
        <v>-0.926659332599927</v>
      </c>
      <c r="S320" s="15" t="s">
        <v>1089</v>
      </c>
      <c r="T320" s="15" t="s">
        <v>1090</v>
      </c>
      <c r="U320" s="15" t="s">
        <v>1489</v>
      </c>
      <c r="V320" s="15" t="n">
        <v>4545</v>
      </c>
      <c r="W320" s="15" t="n">
        <v>2000</v>
      </c>
      <c r="X320" s="15" t="s">
        <v>1490</v>
      </c>
      <c r="Y320" s="15" t="n">
        <v>-0.55995599559956</v>
      </c>
    </row>
    <row r="321" customFormat="false" ht="13.8" hidden="true" customHeight="false" outlineLevel="0" collapsed="false">
      <c r="A321" s="15" t="s">
        <v>1488</v>
      </c>
      <c r="B321" s="15" t="s">
        <v>1211</v>
      </c>
      <c r="C321" s="15" t="n">
        <v>2006</v>
      </c>
      <c r="D321" s="15" t="s">
        <v>145</v>
      </c>
      <c r="H321" s="15" t="s">
        <v>1157</v>
      </c>
      <c r="I321" s="16" t="n">
        <v>12</v>
      </c>
      <c r="J321" s="16" t="n">
        <v>15.8</v>
      </c>
      <c r="K321" s="15" t="s">
        <v>1305</v>
      </c>
      <c r="L321" s="16" t="n">
        <v>18756</v>
      </c>
      <c r="M321" s="16" t="n">
        <v>11281.2</v>
      </c>
      <c r="N321" s="57" t="s">
        <v>1492</v>
      </c>
      <c r="P321" s="15" t="n">
        <v>0.316666666666667</v>
      </c>
      <c r="Q321" s="15" t="s">
        <v>1089</v>
      </c>
      <c r="R321" s="15" t="n">
        <v>-0.398528470889315</v>
      </c>
      <c r="S321" s="15" t="s">
        <v>1089</v>
      </c>
      <c r="T321" s="15" t="s">
        <v>1090</v>
      </c>
      <c r="U321" s="15" t="s">
        <v>1214</v>
      </c>
      <c r="V321" s="15" t="n">
        <v>1563</v>
      </c>
      <c r="W321" s="15" t="n">
        <v>714</v>
      </c>
      <c r="X321" s="15" t="s">
        <v>1306</v>
      </c>
      <c r="Y321" s="15" t="n">
        <v>-54</v>
      </c>
    </row>
    <row r="322" customFormat="false" ht="13.8" hidden="false" customHeight="false" outlineLevel="0" collapsed="false">
      <c r="A322" s="15" t="s">
        <v>1488</v>
      </c>
      <c r="B322" s="15" t="s">
        <v>1211</v>
      </c>
      <c r="C322" s="15" t="n">
        <v>2006</v>
      </c>
      <c r="D322" s="15" t="s">
        <v>145</v>
      </c>
      <c r="H322" s="15" t="s">
        <v>403</v>
      </c>
      <c r="I322" s="16" t="n">
        <v>4.57</v>
      </c>
      <c r="J322" s="16" t="n">
        <v>6.68</v>
      </c>
      <c r="K322" s="57" t="s">
        <v>1493</v>
      </c>
      <c r="L322" s="16" t="n">
        <v>7142.91</v>
      </c>
      <c r="M322" s="16" t="n">
        <v>4769.52</v>
      </c>
      <c r="N322" s="57" t="s">
        <v>1494</v>
      </c>
      <c r="P322" s="15" t="n">
        <v>0.461706783369803</v>
      </c>
      <c r="Q322" s="15" t="s">
        <v>1089</v>
      </c>
      <c r="R322" s="15" t="n">
        <v>-0.332272141186155</v>
      </c>
      <c r="S322" s="15" t="s">
        <v>1089</v>
      </c>
      <c r="T322" s="15" t="s">
        <v>1090</v>
      </c>
      <c r="U322" s="15" t="s">
        <v>1214</v>
      </c>
      <c r="V322" s="15" t="n">
        <v>1563</v>
      </c>
      <c r="W322" s="15" t="n">
        <v>714</v>
      </c>
      <c r="X322" s="15" t="s">
        <v>1306</v>
      </c>
      <c r="Y322" s="15" t="n">
        <v>-54</v>
      </c>
    </row>
    <row r="323" customFormat="false" ht="13.8" hidden="true" customHeight="false" outlineLevel="0" collapsed="false">
      <c r="A323" s="15" t="s">
        <v>1488</v>
      </c>
      <c r="B323" s="15" t="s">
        <v>1211</v>
      </c>
      <c r="C323" s="15" t="n">
        <v>2006</v>
      </c>
      <c r="D323" s="15" t="s">
        <v>145</v>
      </c>
      <c r="H323" s="15" t="s">
        <v>1476</v>
      </c>
      <c r="I323" s="16" t="n">
        <v>0.049</v>
      </c>
      <c r="J323" s="16" t="n">
        <v>0.086</v>
      </c>
      <c r="K323" s="57" t="s">
        <v>1495</v>
      </c>
      <c r="L323" s="16" t="n">
        <v>76.587</v>
      </c>
      <c r="M323" s="16" t="n">
        <v>61.404</v>
      </c>
      <c r="N323" s="57" t="s">
        <v>1496</v>
      </c>
      <c r="P323" s="15" t="n">
        <v>0.755102040816326</v>
      </c>
      <c r="Q323" s="15" t="s">
        <v>1089</v>
      </c>
      <c r="R323" s="15" t="n">
        <v>-0.198245132986016</v>
      </c>
      <c r="S323" s="15" t="s">
        <v>1089</v>
      </c>
      <c r="T323" s="15" t="s">
        <v>1090</v>
      </c>
      <c r="U323" s="15" t="s">
        <v>1214</v>
      </c>
      <c r="V323" s="15" t="n">
        <v>1563</v>
      </c>
      <c r="W323" s="15" t="n">
        <v>714</v>
      </c>
      <c r="X323" s="15" t="s">
        <v>1306</v>
      </c>
      <c r="Y323" s="15" t="n">
        <v>-54</v>
      </c>
    </row>
    <row r="324" customFormat="false" ht="13.8" hidden="true" customHeight="false" outlineLevel="0" collapsed="false">
      <c r="A324" s="15" t="s">
        <v>1488</v>
      </c>
      <c r="B324" s="15" t="s">
        <v>1211</v>
      </c>
      <c r="C324" s="15" t="n">
        <v>2006</v>
      </c>
      <c r="D324" s="15" t="s">
        <v>145</v>
      </c>
      <c r="H324" s="15" t="s">
        <v>1491</v>
      </c>
      <c r="I324" s="16" t="n">
        <v>0.173</v>
      </c>
      <c r="J324" s="16" t="n">
        <v>0.264</v>
      </c>
      <c r="K324" s="15" t="s">
        <v>1497</v>
      </c>
      <c r="L324" s="16" t="n">
        <v>270.399</v>
      </c>
      <c r="M324" s="16" t="n">
        <v>188.496</v>
      </c>
      <c r="N324" s="15" t="s">
        <v>1498</v>
      </c>
      <c r="P324" s="15" t="n">
        <v>0.526011560693642</v>
      </c>
      <c r="Q324" s="15" t="s">
        <v>1089</v>
      </c>
      <c r="R324" s="15" t="n">
        <v>-0.302896830239757</v>
      </c>
      <c r="S324" s="15" t="s">
        <v>1089</v>
      </c>
      <c r="T324" s="15" t="s">
        <v>1090</v>
      </c>
      <c r="U324" s="15" t="s">
        <v>1214</v>
      </c>
      <c r="V324" s="15" t="n">
        <v>1563</v>
      </c>
      <c r="W324" s="15" t="n">
        <v>714</v>
      </c>
      <c r="X324" s="15" t="s">
        <v>1306</v>
      </c>
      <c r="Y324" s="15" t="n">
        <v>-54</v>
      </c>
    </row>
    <row r="325" customFormat="false" ht="13.8" hidden="true" customHeight="false" outlineLevel="0" collapsed="false">
      <c r="A325" s="15" t="s">
        <v>1488</v>
      </c>
      <c r="B325" s="15" t="s">
        <v>1211</v>
      </c>
      <c r="C325" s="15" t="n">
        <v>2006</v>
      </c>
      <c r="D325" s="15" t="s">
        <v>145</v>
      </c>
      <c r="H325" s="15" t="s">
        <v>1313</v>
      </c>
      <c r="I325" s="16" t="n">
        <v>77</v>
      </c>
      <c r="J325" s="16" t="n">
        <v>6</v>
      </c>
      <c r="K325" s="57" t="s">
        <v>1314</v>
      </c>
      <c r="L325" s="16" t="n">
        <v>120351</v>
      </c>
      <c r="M325" s="16" t="n">
        <v>4284</v>
      </c>
      <c r="N325" s="57" t="s">
        <v>1499</v>
      </c>
      <c r="P325" s="15" t="n">
        <v>-0.922077922077922</v>
      </c>
      <c r="Q325" s="15" t="s">
        <v>1089</v>
      </c>
      <c r="R325" s="15" t="n">
        <v>-0.964404117954982</v>
      </c>
      <c r="S325" s="15" t="s">
        <v>1089</v>
      </c>
      <c r="T325" s="15" t="s">
        <v>1090</v>
      </c>
      <c r="U325" s="15" t="s">
        <v>1214</v>
      </c>
      <c r="V325" s="15" t="n">
        <v>1563</v>
      </c>
      <c r="W325" s="15" t="n">
        <v>714</v>
      </c>
      <c r="X325" s="15" t="s">
        <v>1306</v>
      </c>
      <c r="Y325" s="15" t="n">
        <v>-54</v>
      </c>
    </row>
    <row r="326" customFormat="false" ht="13.8" hidden="true" customHeight="false" outlineLevel="0" collapsed="false">
      <c r="A326" s="15" t="s">
        <v>1488</v>
      </c>
      <c r="B326" s="15" t="s">
        <v>1211</v>
      </c>
      <c r="C326" s="15" t="n">
        <v>2006</v>
      </c>
      <c r="D326" s="15" t="s">
        <v>145</v>
      </c>
      <c r="H326" s="15" t="s">
        <v>1153</v>
      </c>
      <c r="I326" s="16" t="n">
        <v>6.4</v>
      </c>
      <c r="J326" s="16" t="n">
        <v>14</v>
      </c>
      <c r="K326" s="57" t="s">
        <v>1314</v>
      </c>
      <c r="L326" s="16" t="s">
        <v>628</v>
      </c>
      <c r="M326" s="16" t="s">
        <v>628</v>
      </c>
      <c r="N326" s="57" t="s">
        <v>1499</v>
      </c>
      <c r="P326" s="15" t="n">
        <v>1.1875</v>
      </c>
      <c r="Q326" s="15" t="s">
        <v>1089</v>
      </c>
      <c r="R326" s="15" t="s">
        <v>628</v>
      </c>
      <c r="S326" s="15" t="s">
        <v>1089</v>
      </c>
      <c r="T326" s="15" t="s">
        <v>1090</v>
      </c>
      <c r="U326" s="15" t="s">
        <v>1214</v>
      </c>
      <c r="V326" s="15" t="n">
        <v>1563</v>
      </c>
      <c r="W326" s="15" t="n">
        <v>714</v>
      </c>
      <c r="X326" s="15" t="s">
        <v>1306</v>
      </c>
      <c r="Y326" s="15" t="n">
        <v>-54</v>
      </c>
    </row>
    <row r="327" customFormat="false" ht="13.8" hidden="true" customHeight="false" outlineLevel="0" collapsed="false">
      <c r="A327" s="15" t="s">
        <v>1488</v>
      </c>
      <c r="B327" s="15" t="s">
        <v>1211</v>
      </c>
      <c r="C327" s="15" t="n">
        <v>2006</v>
      </c>
      <c r="D327" s="15" t="s">
        <v>145</v>
      </c>
      <c r="H327" s="15" t="s">
        <v>1112</v>
      </c>
      <c r="I327" s="16" t="n">
        <v>0.029</v>
      </c>
      <c r="J327" s="16" t="n">
        <v>0.099</v>
      </c>
      <c r="K327" s="15" t="s">
        <v>1500</v>
      </c>
      <c r="L327" s="16" t="n">
        <v>45.327</v>
      </c>
      <c r="M327" s="16" t="n">
        <v>70.686</v>
      </c>
      <c r="N327" s="57" t="s">
        <v>1501</v>
      </c>
      <c r="O327" s="15" t="s">
        <v>1318</v>
      </c>
      <c r="P327" s="15" t="n">
        <v>2.41379310344828</v>
      </c>
      <c r="Q327" s="15" t="s">
        <v>1089</v>
      </c>
      <c r="R327" s="15" t="n">
        <v>0.559467866834337</v>
      </c>
      <c r="S327" s="15" t="s">
        <v>1089</v>
      </c>
      <c r="T327" s="15" t="s">
        <v>1090</v>
      </c>
      <c r="U327" s="15" t="s">
        <v>1214</v>
      </c>
      <c r="V327" s="15" t="n">
        <v>1563</v>
      </c>
      <c r="W327" s="15" t="n">
        <v>714</v>
      </c>
      <c r="X327" s="15" t="s">
        <v>1306</v>
      </c>
      <c r="Y327" s="15" t="n">
        <v>-54</v>
      </c>
    </row>
    <row r="328" customFormat="false" ht="13.8" hidden="true" customHeight="false" outlineLevel="0" collapsed="false">
      <c r="A328" s="15" t="s">
        <v>1488</v>
      </c>
      <c r="B328" s="15" t="s">
        <v>1502</v>
      </c>
      <c r="C328" s="15" t="n">
        <v>2010</v>
      </c>
      <c r="D328" s="15" t="s">
        <v>102</v>
      </c>
      <c r="H328" s="15" t="s">
        <v>403</v>
      </c>
      <c r="I328" s="16" t="n">
        <v>1.6E-005</v>
      </c>
      <c r="J328" s="16" t="n">
        <v>1.22E-005</v>
      </c>
      <c r="K328" s="15" t="s">
        <v>1503</v>
      </c>
      <c r="L328" s="16" t="n">
        <v>422.163584</v>
      </c>
      <c r="M328" s="16" t="n">
        <v>136.1607108</v>
      </c>
      <c r="N328" s="57" t="s">
        <v>1504</v>
      </c>
      <c r="P328" s="15" t="n">
        <v>-0.2375</v>
      </c>
      <c r="Q328" s="15" t="s">
        <v>1089</v>
      </c>
      <c r="R328" s="15" t="n">
        <v>-0.677469312938181</v>
      </c>
      <c r="S328" s="15" t="s">
        <v>1089</v>
      </c>
      <c r="T328" s="15" t="s">
        <v>1090</v>
      </c>
      <c r="U328" s="15" t="s">
        <v>1260</v>
      </c>
      <c r="V328" s="15" t="n">
        <v>26385224</v>
      </c>
      <c r="W328" s="15" t="n">
        <v>11160714</v>
      </c>
      <c r="X328" s="15" t="s">
        <v>1505</v>
      </c>
      <c r="Y328" s="15" t="n">
        <v>-0.577008935000893</v>
      </c>
    </row>
    <row r="329" customFormat="false" ht="13.8" hidden="true" customHeight="false" outlineLevel="0" collapsed="false">
      <c r="A329" s="15" t="s">
        <v>1488</v>
      </c>
      <c r="B329" s="15" t="s">
        <v>1502</v>
      </c>
      <c r="C329" s="15" t="n">
        <v>2010</v>
      </c>
      <c r="D329" s="15" t="s">
        <v>102</v>
      </c>
      <c r="H329" s="15" t="s">
        <v>1506</v>
      </c>
      <c r="I329" s="16" t="n">
        <v>3.64E-005</v>
      </c>
      <c r="J329" s="16" t="n">
        <v>4.24E-005</v>
      </c>
      <c r="K329" s="15" t="s">
        <v>1503</v>
      </c>
      <c r="L329" s="16" t="n">
        <v>960.4221536</v>
      </c>
      <c r="M329" s="16" t="n">
        <v>473.2142736</v>
      </c>
      <c r="N329" s="57" t="s">
        <v>1504</v>
      </c>
      <c r="P329" s="15" t="n">
        <v>0.164835164835165</v>
      </c>
      <c r="Q329" s="15" t="s">
        <v>1089</v>
      </c>
      <c r="R329" s="15" t="n">
        <v>-0.507285133077963</v>
      </c>
      <c r="S329" s="15" t="s">
        <v>1089</v>
      </c>
      <c r="T329" s="15" t="s">
        <v>1090</v>
      </c>
      <c r="U329" s="15" t="s">
        <v>1260</v>
      </c>
      <c r="V329" s="15" t="n">
        <v>26385224</v>
      </c>
      <c r="W329" s="15" t="n">
        <v>11160714</v>
      </c>
      <c r="X329" s="15" t="s">
        <v>1505</v>
      </c>
      <c r="Y329" s="15" t="n">
        <v>-0.577008935000893</v>
      </c>
    </row>
    <row r="330" customFormat="false" ht="13.8" hidden="true" customHeight="false" outlineLevel="0" collapsed="false">
      <c r="A330" s="15" t="s">
        <v>1488</v>
      </c>
      <c r="B330" s="15" t="s">
        <v>1502</v>
      </c>
      <c r="C330" s="15" t="n">
        <v>2010</v>
      </c>
      <c r="D330" s="15" t="s">
        <v>102</v>
      </c>
      <c r="H330" s="15" t="s">
        <v>1153</v>
      </c>
      <c r="I330" s="16" t="n">
        <v>0.000379</v>
      </c>
      <c r="J330" s="16" t="n">
        <v>0.000896</v>
      </c>
      <c r="K330" s="15" t="s">
        <v>1503</v>
      </c>
      <c r="L330" s="16" t="n">
        <v>9999.999896</v>
      </c>
      <c r="M330" s="16" t="n">
        <v>9999.999744</v>
      </c>
      <c r="N330" s="57" t="s">
        <v>1504</v>
      </c>
      <c r="P330" s="15" t="n">
        <v>1.36411609498681</v>
      </c>
      <c r="Q330" s="15" t="s">
        <v>1089</v>
      </c>
      <c r="R330" s="15" t="n">
        <v>-1.52000000364083E-008</v>
      </c>
      <c r="S330" s="15" t="s">
        <v>1089</v>
      </c>
      <c r="T330" s="15" t="s">
        <v>1090</v>
      </c>
      <c r="U330" s="15" t="s">
        <v>1260</v>
      </c>
      <c r="V330" s="15" t="n">
        <v>26385224</v>
      </c>
      <c r="W330" s="15" t="n">
        <v>11160714</v>
      </c>
      <c r="X330" s="15" t="s">
        <v>1505</v>
      </c>
      <c r="Y330" s="15" t="n">
        <v>-0.577008935000893</v>
      </c>
    </row>
    <row r="331" customFormat="false" ht="13.8" hidden="true" customHeight="false" outlineLevel="0" collapsed="false">
      <c r="A331" s="15" t="s">
        <v>1488</v>
      </c>
      <c r="B331" s="15" t="s">
        <v>1502</v>
      </c>
      <c r="C331" s="15" t="n">
        <v>2010</v>
      </c>
      <c r="D331" s="15" t="s">
        <v>102</v>
      </c>
      <c r="H331" s="15" t="s">
        <v>1157</v>
      </c>
      <c r="I331" s="16" t="n">
        <v>0.000201</v>
      </c>
      <c r="J331" s="16" t="n">
        <v>0.000207</v>
      </c>
      <c r="K331" s="15" t="s">
        <v>1503</v>
      </c>
      <c r="L331" s="16" t="n">
        <v>5303.430024</v>
      </c>
      <c r="M331" s="16" t="n">
        <v>2310.267798</v>
      </c>
      <c r="N331" s="57" t="s">
        <v>1504</v>
      </c>
      <c r="P331" s="15" t="n">
        <v>0.0298507462686566</v>
      </c>
      <c r="Q331" s="15" t="s">
        <v>1089</v>
      </c>
      <c r="R331" s="15" t="n">
        <v>-0.564382336045696</v>
      </c>
      <c r="S331" s="15" t="s">
        <v>1089</v>
      </c>
      <c r="T331" s="15" t="s">
        <v>1090</v>
      </c>
      <c r="U331" s="15" t="s">
        <v>1260</v>
      </c>
      <c r="V331" s="15" t="n">
        <v>26385224</v>
      </c>
      <c r="W331" s="15" t="n">
        <v>11160714</v>
      </c>
      <c r="X331" s="15" t="s">
        <v>1505</v>
      </c>
      <c r="Y331" s="15" t="n">
        <v>-0.577008935000893</v>
      </c>
    </row>
    <row r="332" customFormat="false" ht="13.8" hidden="true" customHeight="false" outlineLevel="0" collapsed="false">
      <c r="A332" s="15" t="s">
        <v>1488</v>
      </c>
      <c r="B332" s="15" t="s">
        <v>1502</v>
      </c>
      <c r="C332" s="15" t="n">
        <v>2010</v>
      </c>
      <c r="D332" s="15" t="s">
        <v>102</v>
      </c>
      <c r="H332" s="15" t="s">
        <v>1507</v>
      </c>
      <c r="I332" s="16" t="n">
        <v>3.05E-006</v>
      </c>
      <c r="J332" s="16" t="n">
        <v>2.3E-006</v>
      </c>
      <c r="K332" s="15" t="s">
        <v>1503</v>
      </c>
      <c r="L332" s="16" t="n">
        <v>80.4749332</v>
      </c>
      <c r="M332" s="16" t="n">
        <v>25.6696422</v>
      </c>
      <c r="N332" s="57" t="s">
        <v>1504</v>
      </c>
      <c r="P332" s="15" t="n">
        <v>-0.245901639344262</v>
      </c>
      <c r="Q332" s="15" t="s">
        <v>1089</v>
      </c>
      <c r="R332" s="15" t="n">
        <v>-0.681023131312149</v>
      </c>
      <c r="S332" s="15" t="s">
        <v>1089</v>
      </c>
      <c r="T332" s="15" t="s">
        <v>1090</v>
      </c>
      <c r="U332" s="15" t="s">
        <v>1260</v>
      </c>
      <c r="V332" s="15" t="n">
        <v>26385224</v>
      </c>
      <c r="W332" s="15" t="n">
        <v>11160714</v>
      </c>
      <c r="X332" s="15" t="s">
        <v>1505</v>
      </c>
      <c r="Y332" s="15" t="n">
        <v>-0.577008935000893</v>
      </c>
    </row>
    <row r="333" customFormat="false" ht="13.8" hidden="true" customHeight="false" outlineLevel="0" collapsed="false">
      <c r="A333" s="15" t="s">
        <v>1488</v>
      </c>
      <c r="B333" s="15" t="s">
        <v>1502</v>
      </c>
      <c r="C333" s="15" t="n">
        <v>2010</v>
      </c>
      <c r="D333" s="15" t="s">
        <v>102</v>
      </c>
      <c r="H333" s="15" t="s">
        <v>1508</v>
      </c>
      <c r="I333" s="16" t="n">
        <v>1.08E-007</v>
      </c>
      <c r="J333" s="16" t="n">
        <v>9.06E-008</v>
      </c>
      <c r="K333" s="15" t="s">
        <v>1503</v>
      </c>
      <c r="L333" s="16" t="n">
        <v>2.849604192</v>
      </c>
      <c r="M333" s="16" t="n">
        <v>1.0111606884</v>
      </c>
      <c r="N333" s="57" t="s">
        <v>1504</v>
      </c>
      <c r="P333" s="15" t="n">
        <v>-0.161111111111111</v>
      </c>
      <c r="Q333" s="15" t="s">
        <v>1089</v>
      </c>
      <c r="R333" s="15" t="n">
        <v>-0.645157495472971</v>
      </c>
      <c r="S333" s="15" t="s">
        <v>1089</v>
      </c>
      <c r="T333" s="15" t="s">
        <v>1090</v>
      </c>
      <c r="U333" s="15" t="s">
        <v>1260</v>
      </c>
      <c r="V333" s="15" t="n">
        <v>26385224</v>
      </c>
      <c r="W333" s="15" t="n">
        <v>11160714</v>
      </c>
      <c r="X333" s="15" t="s">
        <v>1505</v>
      </c>
      <c r="Y333" s="15" t="n">
        <v>-0.577008935000893</v>
      </c>
    </row>
    <row r="334" customFormat="false" ht="13.8" hidden="true" customHeight="false" outlineLevel="0" collapsed="false">
      <c r="A334" s="15" t="s">
        <v>1488</v>
      </c>
      <c r="B334" s="15" t="s">
        <v>1502</v>
      </c>
      <c r="C334" s="15" t="n">
        <v>2010</v>
      </c>
      <c r="D334" s="15" t="s">
        <v>102</v>
      </c>
      <c r="H334" s="15" t="s">
        <v>1509</v>
      </c>
      <c r="I334" s="16" t="n">
        <v>0.000138</v>
      </c>
      <c r="J334" s="16" t="n">
        <v>0.000107</v>
      </c>
      <c r="K334" s="15" t="s">
        <v>1503</v>
      </c>
      <c r="L334" s="16" t="n">
        <v>3641.160912</v>
      </c>
      <c r="M334" s="16" t="n">
        <v>1194.196398</v>
      </c>
      <c r="N334" s="57" t="s">
        <v>1504</v>
      </c>
      <c r="P334" s="15" t="n">
        <v>-0.22463768115942</v>
      </c>
      <c r="Q334" s="15" t="s">
        <v>1089</v>
      </c>
      <c r="R334" s="15" t="n">
        <v>-0.672028666993446</v>
      </c>
      <c r="S334" s="15" t="s">
        <v>1089</v>
      </c>
      <c r="T334" s="15" t="s">
        <v>1090</v>
      </c>
      <c r="U334" s="15" t="s">
        <v>1260</v>
      </c>
      <c r="V334" s="15" t="n">
        <v>26385224</v>
      </c>
      <c r="W334" s="15" t="n">
        <v>11160714</v>
      </c>
      <c r="X334" s="15" t="s">
        <v>1505</v>
      </c>
      <c r="Y334" s="15" t="n">
        <v>-0.577008935000893</v>
      </c>
    </row>
    <row r="335" customFormat="false" ht="13.8" hidden="true" customHeight="false" outlineLevel="0" collapsed="false">
      <c r="A335" s="15" t="s">
        <v>1488</v>
      </c>
      <c r="B335" s="15" t="s">
        <v>1502</v>
      </c>
      <c r="C335" s="15" t="n">
        <v>2010</v>
      </c>
      <c r="D335" s="15" t="s">
        <v>102</v>
      </c>
      <c r="H335" s="15" t="s">
        <v>1510</v>
      </c>
      <c r="I335" s="16" t="n">
        <v>1.03E-007</v>
      </c>
      <c r="J335" s="16" t="n">
        <v>1.24E-007</v>
      </c>
      <c r="K335" s="15" t="s">
        <v>1503</v>
      </c>
      <c r="L335" s="16" t="n">
        <v>2.717678072</v>
      </c>
      <c r="M335" s="16" t="n">
        <v>1.383928536</v>
      </c>
      <c r="N335" s="57" t="s">
        <v>1504</v>
      </c>
      <c r="P335" s="15" t="n">
        <v>0.203883495145631</v>
      </c>
      <c r="Q335" s="15" t="s">
        <v>1089</v>
      </c>
      <c r="R335" s="15" t="n">
        <v>-0.490768038253502</v>
      </c>
      <c r="S335" s="15" t="s">
        <v>1089</v>
      </c>
      <c r="T335" s="15" t="s">
        <v>1090</v>
      </c>
      <c r="U335" s="15" t="s">
        <v>1260</v>
      </c>
      <c r="V335" s="15" t="n">
        <v>26385224</v>
      </c>
      <c r="W335" s="15" t="n">
        <v>11160714</v>
      </c>
      <c r="X335" s="15" t="s">
        <v>1505</v>
      </c>
      <c r="Y335" s="15" t="n">
        <v>-0.577008935000893</v>
      </c>
    </row>
    <row r="336" customFormat="false" ht="13.8" hidden="true" customHeight="false" outlineLevel="0" collapsed="false">
      <c r="A336" s="15" t="s">
        <v>1488</v>
      </c>
      <c r="B336" s="15" t="s">
        <v>1502</v>
      </c>
      <c r="C336" s="15" t="n">
        <v>2010</v>
      </c>
      <c r="D336" s="15" t="s">
        <v>102</v>
      </c>
      <c r="H336" s="15" t="s">
        <v>1511</v>
      </c>
      <c r="I336" s="16" t="n">
        <v>6.78E-009</v>
      </c>
      <c r="J336" s="16" t="n">
        <v>6.37E-009</v>
      </c>
      <c r="K336" s="15" t="s">
        <v>1503</v>
      </c>
      <c r="L336" s="16" t="n">
        <v>0.17889181872</v>
      </c>
      <c r="M336" s="16" t="n">
        <v>0.07109374818</v>
      </c>
      <c r="N336" s="57" t="s">
        <v>1504</v>
      </c>
      <c r="P336" s="15" t="n">
        <v>-0.06047197640118</v>
      </c>
      <c r="Q336" s="15" t="s">
        <v>1089</v>
      </c>
      <c r="R336" s="15" t="n">
        <v>-0.602588040701429</v>
      </c>
      <c r="S336" s="15" t="s">
        <v>1089</v>
      </c>
      <c r="T336" s="15" t="s">
        <v>1090</v>
      </c>
      <c r="U336" s="15" t="s">
        <v>1260</v>
      </c>
      <c r="V336" s="15" t="n">
        <v>26385224</v>
      </c>
      <c r="W336" s="15" t="n">
        <v>11160714</v>
      </c>
      <c r="X336" s="15" t="s">
        <v>1505</v>
      </c>
      <c r="Y336" s="15" t="n">
        <v>-0.577008935000893</v>
      </c>
    </row>
    <row r="337" customFormat="false" ht="13.8" hidden="true" customHeight="false" outlineLevel="0" collapsed="false">
      <c r="A337" s="15" t="s">
        <v>1488</v>
      </c>
      <c r="B337" s="15" t="s">
        <v>1502</v>
      </c>
      <c r="C337" s="15" t="n">
        <v>2010</v>
      </c>
      <c r="D337" s="15" t="s">
        <v>102</v>
      </c>
      <c r="H337" s="15" t="s">
        <v>1512</v>
      </c>
      <c r="I337" s="16" t="n">
        <v>1.79E-005</v>
      </c>
      <c r="J337" s="16" t="n">
        <v>1.49E-005</v>
      </c>
      <c r="K337" s="15" t="s">
        <v>1503</v>
      </c>
      <c r="L337" s="16" t="n">
        <v>472.2955096</v>
      </c>
      <c r="M337" s="16" t="n">
        <v>166.2946386</v>
      </c>
      <c r="N337" s="57" t="s">
        <v>1504</v>
      </c>
      <c r="P337" s="15" t="n">
        <v>-0.167597765363129</v>
      </c>
      <c r="Q337" s="15" t="s">
        <v>1089</v>
      </c>
      <c r="R337" s="15" t="n">
        <v>-0.647901292263313</v>
      </c>
      <c r="S337" s="15" t="s">
        <v>1089</v>
      </c>
      <c r="T337" s="15" t="s">
        <v>1090</v>
      </c>
      <c r="U337" s="15" t="s">
        <v>1260</v>
      </c>
      <c r="V337" s="15" t="n">
        <v>26385224</v>
      </c>
      <c r="W337" s="15" t="n">
        <v>11160714</v>
      </c>
      <c r="X337" s="15" t="s">
        <v>1505</v>
      </c>
      <c r="Y337" s="15" t="n">
        <v>-0.577008935000893</v>
      </c>
    </row>
    <row r="338" customFormat="false" ht="13.8" hidden="true" customHeight="false" outlineLevel="0" collapsed="false">
      <c r="A338" s="15" t="s">
        <v>1488</v>
      </c>
      <c r="B338" s="15" t="s">
        <v>1502</v>
      </c>
      <c r="C338" s="15" t="n">
        <v>2010</v>
      </c>
      <c r="D338" s="15" t="s">
        <v>102</v>
      </c>
      <c r="H338" s="15" t="s">
        <v>1513</v>
      </c>
      <c r="I338" s="16" t="n">
        <v>7.06E-006</v>
      </c>
      <c r="J338" s="16" t="n">
        <v>5.88E-006</v>
      </c>
      <c r="K338" s="15" t="s">
        <v>1503</v>
      </c>
      <c r="L338" s="16" t="n">
        <v>186.27968144</v>
      </c>
      <c r="M338" s="16" t="n">
        <v>65.62499832</v>
      </c>
      <c r="N338" s="57" t="s">
        <v>1504</v>
      </c>
      <c r="P338" s="15" t="n">
        <v>-0.1671388101983</v>
      </c>
      <c r="Q338" s="15" t="s">
        <v>1089</v>
      </c>
      <c r="R338" s="15" t="n">
        <v>-0.647707158329356</v>
      </c>
      <c r="S338" s="15" t="s">
        <v>1089</v>
      </c>
      <c r="T338" s="15" t="s">
        <v>1090</v>
      </c>
      <c r="U338" s="15" t="s">
        <v>1260</v>
      </c>
      <c r="V338" s="15" t="n">
        <v>26385224</v>
      </c>
      <c r="W338" s="15" t="n">
        <v>11160714</v>
      </c>
      <c r="X338" s="15" t="s">
        <v>1505</v>
      </c>
      <c r="Y338" s="15" t="n">
        <v>-0.577008935000893</v>
      </c>
    </row>
    <row r="339" customFormat="false" ht="13.8" hidden="true" customHeight="false" outlineLevel="0" collapsed="false">
      <c r="A339" s="15" t="s">
        <v>1488</v>
      </c>
      <c r="B339" s="15" t="s">
        <v>1514</v>
      </c>
      <c r="C339" s="15" t="s">
        <v>1515</v>
      </c>
      <c r="D339" s="15" t="s">
        <v>143</v>
      </c>
      <c r="H339" s="15" t="s">
        <v>1102</v>
      </c>
      <c r="I339" s="16" t="n">
        <v>25.37</v>
      </c>
      <c r="J339" s="16" t="n">
        <v>40.34</v>
      </c>
      <c r="K339" s="15" t="s">
        <v>1516</v>
      </c>
      <c r="L339" s="16" t="n">
        <v>45310.82</v>
      </c>
      <c r="M339" s="16" t="n">
        <v>16136</v>
      </c>
      <c r="N339" s="15" t="s">
        <v>1216</v>
      </c>
      <c r="O339" s="15" t="s">
        <v>1517</v>
      </c>
      <c r="P339" s="15" t="n">
        <v>0.590067008277493</v>
      </c>
      <c r="Q339" s="15" t="s">
        <v>1160</v>
      </c>
      <c r="R339" s="15" t="n">
        <v>-0.643881969030797</v>
      </c>
      <c r="S339" s="15" t="s">
        <v>1089</v>
      </c>
      <c r="T339" s="15" t="s">
        <v>1090</v>
      </c>
      <c r="U339" s="15" t="s">
        <v>1518</v>
      </c>
      <c r="V339" s="15" t="n">
        <v>1786</v>
      </c>
      <c r="W339" s="15" t="n">
        <v>400</v>
      </c>
      <c r="X339" s="15" t="s">
        <v>1519</v>
      </c>
      <c r="Y339" s="15" t="n">
        <v>-0.776035834266517</v>
      </c>
    </row>
    <row r="340" customFormat="false" ht="13.8" hidden="false" customHeight="false" outlineLevel="0" collapsed="false">
      <c r="A340" s="15" t="s">
        <v>1488</v>
      </c>
      <c r="B340" s="15" t="s">
        <v>1514</v>
      </c>
      <c r="C340" s="15" t="s">
        <v>1515</v>
      </c>
      <c r="D340" s="15" t="s">
        <v>143</v>
      </c>
      <c r="H340" s="15" t="s">
        <v>403</v>
      </c>
      <c r="I340" s="16" t="n">
        <v>4.41</v>
      </c>
      <c r="J340" s="16" t="n">
        <v>5.66</v>
      </c>
      <c r="K340" s="57" t="s">
        <v>1520</v>
      </c>
      <c r="L340" s="16" t="n">
        <v>7876.26</v>
      </c>
      <c r="M340" s="16" t="n">
        <v>2264</v>
      </c>
      <c r="N340" s="15" t="s">
        <v>1521</v>
      </c>
      <c r="O340" s="15" t="s">
        <v>1517</v>
      </c>
      <c r="P340" s="15" t="n">
        <v>0.283446712018141</v>
      </c>
      <c r="Q340" s="15" t="s">
        <v>1160</v>
      </c>
      <c r="R340" s="15" t="n">
        <v>-0.712553927879476</v>
      </c>
      <c r="S340" s="15" t="s">
        <v>1089</v>
      </c>
      <c r="T340" s="15" t="s">
        <v>1090</v>
      </c>
      <c r="U340" s="15" t="s">
        <v>1518</v>
      </c>
      <c r="V340" s="15" t="n">
        <v>1786</v>
      </c>
      <c r="W340" s="15" t="n">
        <v>400</v>
      </c>
      <c r="X340" s="15" t="s">
        <v>1519</v>
      </c>
      <c r="Y340" s="15" t="n">
        <v>-0.776035834266517</v>
      </c>
    </row>
    <row r="341" customFormat="false" ht="13.8" hidden="true" customHeight="false" outlineLevel="0" collapsed="false">
      <c r="A341" s="15" t="s">
        <v>1488</v>
      </c>
      <c r="B341" s="15" t="s">
        <v>1514</v>
      </c>
      <c r="C341" s="15" t="s">
        <v>1515</v>
      </c>
      <c r="D341" s="15" t="s">
        <v>143</v>
      </c>
      <c r="H341" s="15" t="s">
        <v>1522</v>
      </c>
      <c r="I341" s="16" t="n">
        <v>0.02031</v>
      </c>
      <c r="J341" s="16" t="n">
        <v>0.04882</v>
      </c>
      <c r="K341" s="57" t="s">
        <v>1523</v>
      </c>
      <c r="L341" s="16" t="n">
        <v>36.27366</v>
      </c>
      <c r="M341" s="16" t="n">
        <v>19.528</v>
      </c>
      <c r="N341" s="57" t="s">
        <v>1524</v>
      </c>
      <c r="O341" s="15" t="s">
        <v>1517</v>
      </c>
      <c r="P341" s="15" t="n">
        <v>1.40374199901526</v>
      </c>
      <c r="Q341" s="15" t="s">
        <v>1160</v>
      </c>
      <c r="R341" s="15" t="n">
        <v>-0.461647928552013</v>
      </c>
      <c r="S341" s="15" t="s">
        <v>1089</v>
      </c>
      <c r="T341" s="15" t="s">
        <v>1090</v>
      </c>
      <c r="U341" s="15" t="s">
        <v>1518</v>
      </c>
      <c r="V341" s="15" t="n">
        <v>1786</v>
      </c>
      <c r="W341" s="15" t="n">
        <v>400</v>
      </c>
      <c r="X341" s="15" t="s">
        <v>1519</v>
      </c>
      <c r="Y341" s="15" t="n">
        <v>-0.776035834266517</v>
      </c>
    </row>
    <row r="342" customFormat="false" ht="13.8" hidden="true" customHeight="false" outlineLevel="0" collapsed="false">
      <c r="A342" s="15" t="s">
        <v>1488</v>
      </c>
      <c r="B342" s="15" t="s">
        <v>1514</v>
      </c>
      <c r="C342" s="15" t="s">
        <v>1515</v>
      </c>
      <c r="D342" s="15" t="s">
        <v>143</v>
      </c>
      <c r="H342" s="15" t="s">
        <v>1525</v>
      </c>
      <c r="I342" s="16" t="n">
        <v>0.04675</v>
      </c>
      <c r="J342" s="16" t="n">
        <v>0.09155</v>
      </c>
      <c r="K342" s="15" t="s">
        <v>1526</v>
      </c>
      <c r="L342" s="16" t="n">
        <v>83.4955</v>
      </c>
      <c r="M342" s="16" t="n">
        <v>36.62</v>
      </c>
      <c r="N342" s="15" t="s">
        <v>1498</v>
      </c>
      <c r="O342" s="15" t="s">
        <v>1517</v>
      </c>
      <c r="P342" s="15" t="n">
        <v>0.958288770053476</v>
      </c>
      <c r="Q342" s="15" t="s">
        <v>1160</v>
      </c>
      <c r="R342" s="15" t="n">
        <v>-0.561413489349725</v>
      </c>
      <c r="S342" s="15" t="s">
        <v>1089</v>
      </c>
      <c r="T342" s="15" t="s">
        <v>1090</v>
      </c>
      <c r="U342" s="15" t="s">
        <v>1518</v>
      </c>
      <c r="V342" s="15" t="n">
        <v>1786</v>
      </c>
      <c r="W342" s="15" t="n">
        <v>400</v>
      </c>
      <c r="X342" s="15" t="s">
        <v>1519</v>
      </c>
      <c r="Y342" s="15" t="n">
        <v>-0.776035834266517</v>
      </c>
    </row>
    <row r="343" customFormat="false" ht="13.8" hidden="true" customHeight="false" outlineLevel="0" collapsed="false">
      <c r="A343" s="15" t="s">
        <v>1488</v>
      </c>
      <c r="B343" s="15" t="s">
        <v>1514</v>
      </c>
      <c r="C343" s="15" t="s">
        <v>1515</v>
      </c>
      <c r="D343" s="15" t="s">
        <v>143</v>
      </c>
      <c r="H343" s="15" t="s">
        <v>1222</v>
      </c>
      <c r="I343" s="16" t="n">
        <v>0.00277</v>
      </c>
      <c r="J343" s="16" t="n">
        <v>0.00029</v>
      </c>
      <c r="K343" s="15" t="s">
        <v>1527</v>
      </c>
      <c r="L343" s="16" t="n">
        <v>4.94722</v>
      </c>
      <c r="M343" s="16" t="n">
        <v>0.116</v>
      </c>
      <c r="N343" s="15" t="s">
        <v>1528</v>
      </c>
      <c r="O343" s="15" t="s">
        <v>1517</v>
      </c>
      <c r="P343" s="15" t="n">
        <v>-0.895306859205776</v>
      </c>
      <c r="Q343" s="15" t="s">
        <v>1089</v>
      </c>
      <c r="R343" s="15" t="n">
        <v>-0.976552488064004</v>
      </c>
      <c r="S343" s="15" t="s">
        <v>1089</v>
      </c>
      <c r="T343" s="15" t="s">
        <v>1090</v>
      </c>
      <c r="U343" s="15" t="s">
        <v>1518</v>
      </c>
      <c r="V343" s="15" t="n">
        <v>1786</v>
      </c>
      <c r="W343" s="15" t="n">
        <v>400</v>
      </c>
      <c r="X343" s="15" t="s">
        <v>1519</v>
      </c>
      <c r="Y343" s="15" t="n">
        <v>-0.776035834266517</v>
      </c>
    </row>
    <row r="344" customFormat="false" ht="13.8" hidden="true" customHeight="false" outlineLevel="0" collapsed="false">
      <c r="A344" s="15" t="s">
        <v>1488</v>
      </c>
      <c r="B344" s="15" t="s">
        <v>1514</v>
      </c>
      <c r="C344" s="15" t="s">
        <v>1515</v>
      </c>
      <c r="D344" s="15" t="s">
        <v>143</v>
      </c>
      <c r="H344" s="15" t="s">
        <v>1193</v>
      </c>
      <c r="I344" s="16" t="n">
        <v>0.0189</v>
      </c>
      <c r="J344" s="16" t="n">
        <v>0.034</v>
      </c>
      <c r="K344" s="15" t="s">
        <v>1529</v>
      </c>
      <c r="L344" s="16" t="n">
        <v>33.7554</v>
      </c>
      <c r="M344" s="16" t="n">
        <v>13.6</v>
      </c>
      <c r="N344" s="15" t="s">
        <v>1530</v>
      </c>
      <c r="O344" s="15" t="s">
        <v>1517</v>
      </c>
      <c r="P344" s="15" t="n">
        <v>0.798941798941799</v>
      </c>
      <c r="Q344" s="15" t="s">
        <v>1089</v>
      </c>
      <c r="R344" s="15" t="n">
        <v>-0.59710150079691</v>
      </c>
      <c r="S344" s="15" t="s">
        <v>1089</v>
      </c>
      <c r="T344" s="15" t="s">
        <v>1090</v>
      </c>
      <c r="U344" s="15" t="s">
        <v>1518</v>
      </c>
      <c r="V344" s="15" t="n">
        <v>1786</v>
      </c>
      <c r="W344" s="15" t="n">
        <v>400</v>
      </c>
      <c r="X344" s="15" t="s">
        <v>1519</v>
      </c>
      <c r="Y344" s="15" t="n">
        <v>-0.776035834266517</v>
      </c>
    </row>
    <row r="345" customFormat="false" ht="13.8" hidden="true" customHeight="false" outlineLevel="0" collapsed="false">
      <c r="A345" s="15" t="s">
        <v>1488</v>
      </c>
      <c r="B345" s="15" t="s">
        <v>1514</v>
      </c>
      <c r="C345" s="15" t="s">
        <v>1515</v>
      </c>
      <c r="D345" s="15" t="s">
        <v>143</v>
      </c>
      <c r="H345" s="15" t="s">
        <v>1153</v>
      </c>
      <c r="I345" s="16" t="n">
        <v>5.6</v>
      </c>
      <c r="J345" s="16" t="n">
        <v>25</v>
      </c>
      <c r="K345" s="57" t="s">
        <v>1531</v>
      </c>
      <c r="L345" s="16" t="s">
        <v>628</v>
      </c>
      <c r="M345" s="16" t="s">
        <v>628</v>
      </c>
      <c r="N345" s="57" t="s">
        <v>1532</v>
      </c>
      <c r="O345" s="15" t="s">
        <v>1517</v>
      </c>
      <c r="P345" s="15" t="n">
        <v>3.46428571428571</v>
      </c>
      <c r="Q345" s="15" t="s">
        <v>1089</v>
      </c>
      <c r="R345" s="15" t="s">
        <v>628</v>
      </c>
      <c r="S345" s="15" t="s">
        <v>1089</v>
      </c>
      <c r="T345" s="15" t="s">
        <v>1090</v>
      </c>
      <c r="U345" s="15" t="s">
        <v>1518</v>
      </c>
      <c r="V345" s="15" t="n">
        <v>1786</v>
      </c>
      <c r="W345" s="15" t="n">
        <v>400</v>
      </c>
      <c r="X345" s="15" t="s">
        <v>1519</v>
      </c>
      <c r="Y345" s="15" t="n">
        <v>-0.776035834266517</v>
      </c>
    </row>
    <row r="346" customFormat="false" ht="13.8" hidden="true" customHeight="false" outlineLevel="0" collapsed="false">
      <c r="A346" s="15" t="s">
        <v>1488</v>
      </c>
      <c r="B346" s="15" t="s">
        <v>1514</v>
      </c>
      <c r="C346" s="15" t="s">
        <v>1533</v>
      </c>
      <c r="D346" s="15" t="s">
        <v>143</v>
      </c>
      <c r="H346" s="15" t="s">
        <v>1102</v>
      </c>
      <c r="I346" s="16" t="n">
        <v>16.88</v>
      </c>
      <c r="J346" s="16" t="n">
        <v>26.41</v>
      </c>
      <c r="K346" s="15" t="s">
        <v>1534</v>
      </c>
      <c r="L346" s="16" t="n">
        <v>42200</v>
      </c>
      <c r="M346" s="16" t="n">
        <v>15634.72</v>
      </c>
      <c r="N346" s="15" t="s">
        <v>1216</v>
      </c>
      <c r="O346" s="15" t="s">
        <v>1535</v>
      </c>
      <c r="P346" s="15" t="n">
        <v>0.56457345971564</v>
      </c>
      <c r="Q346" s="15" t="s">
        <v>1160</v>
      </c>
      <c r="R346" s="15" t="n">
        <v>-0.629509004739337</v>
      </c>
      <c r="S346" s="15" t="s">
        <v>1089</v>
      </c>
      <c r="T346" s="15" t="s">
        <v>1090</v>
      </c>
      <c r="U346" s="15" t="s">
        <v>1518</v>
      </c>
      <c r="V346" s="15" t="n">
        <v>2500</v>
      </c>
      <c r="W346" s="15" t="n">
        <v>592</v>
      </c>
      <c r="X346" s="15" t="s">
        <v>1536</v>
      </c>
      <c r="Y346" s="15" t="n">
        <v>-0.7632</v>
      </c>
    </row>
    <row r="347" customFormat="false" ht="13.8" hidden="false" customHeight="false" outlineLevel="0" collapsed="false">
      <c r="A347" s="15" t="s">
        <v>1488</v>
      </c>
      <c r="B347" s="15" t="s">
        <v>1514</v>
      </c>
      <c r="C347" s="15" t="s">
        <v>1533</v>
      </c>
      <c r="D347" s="15" t="s">
        <v>143</v>
      </c>
      <c r="H347" s="15" t="s">
        <v>403</v>
      </c>
      <c r="I347" s="16" t="n">
        <v>2.92</v>
      </c>
      <c r="J347" s="16" t="n">
        <v>3.42</v>
      </c>
      <c r="K347" s="57" t="s">
        <v>1537</v>
      </c>
      <c r="L347" s="16" t="n">
        <v>7300</v>
      </c>
      <c r="M347" s="16" t="n">
        <v>2024.64</v>
      </c>
      <c r="N347" s="15" t="s">
        <v>1521</v>
      </c>
      <c r="O347" s="15" t="s">
        <v>1535</v>
      </c>
      <c r="P347" s="15" t="n">
        <v>0.171232876712329</v>
      </c>
      <c r="Q347" s="15" t="s">
        <v>1160</v>
      </c>
      <c r="R347" s="15" t="n">
        <v>-0.722652054794521</v>
      </c>
      <c r="S347" s="15" t="s">
        <v>1089</v>
      </c>
      <c r="T347" s="15" t="s">
        <v>1090</v>
      </c>
      <c r="U347" s="15" t="s">
        <v>1518</v>
      </c>
      <c r="V347" s="15" t="n">
        <v>2500</v>
      </c>
      <c r="W347" s="15" t="n">
        <v>592</v>
      </c>
      <c r="X347" s="15" t="s">
        <v>1536</v>
      </c>
      <c r="Y347" s="15" t="n">
        <v>-0.7632</v>
      </c>
    </row>
    <row r="348" customFormat="false" ht="13.8" hidden="true" customHeight="false" outlineLevel="0" collapsed="false">
      <c r="A348" s="15" t="s">
        <v>1488</v>
      </c>
      <c r="B348" s="15" t="s">
        <v>1514</v>
      </c>
      <c r="C348" s="15" t="s">
        <v>1533</v>
      </c>
      <c r="D348" s="15" t="s">
        <v>143</v>
      </c>
      <c r="H348" s="15" t="s">
        <v>1522</v>
      </c>
      <c r="I348" s="16" t="n">
        <v>0.01847</v>
      </c>
      <c r="J348" s="16" t="n">
        <v>0.03761</v>
      </c>
      <c r="K348" s="57" t="s">
        <v>1538</v>
      </c>
      <c r="L348" s="16" t="n">
        <v>46.175</v>
      </c>
      <c r="M348" s="16" t="n">
        <v>22.26512</v>
      </c>
      <c r="N348" s="57" t="s">
        <v>1524</v>
      </c>
      <c r="O348" s="15" t="s">
        <v>1535</v>
      </c>
      <c r="P348" s="15" t="n">
        <v>1.03627504060639</v>
      </c>
      <c r="Q348" s="15" t="s">
        <v>1160</v>
      </c>
      <c r="R348" s="15" t="n">
        <v>-0.517810070384407</v>
      </c>
      <c r="S348" s="15" t="s">
        <v>1089</v>
      </c>
      <c r="T348" s="15" t="s">
        <v>1090</v>
      </c>
      <c r="U348" s="15" t="s">
        <v>1518</v>
      </c>
      <c r="V348" s="15" t="n">
        <v>2500</v>
      </c>
      <c r="W348" s="15" t="n">
        <v>592</v>
      </c>
      <c r="X348" s="15" t="s">
        <v>1536</v>
      </c>
      <c r="Y348" s="15" t="n">
        <v>-0.7632</v>
      </c>
    </row>
    <row r="349" customFormat="false" ht="13.8" hidden="true" customHeight="false" outlineLevel="0" collapsed="false">
      <c r="A349" s="15" t="s">
        <v>1488</v>
      </c>
      <c r="B349" s="15" t="s">
        <v>1514</v>
      </c>
      <c r="C349" s="15" t="s">
        <v>1533</v>
      </c>
      <c r="D349" s="15" t="s">
        <v>143</v>
      </c>
      <c r="H349" s="15" t="s">
        <v>1525</v>
      </c>
      <c r="I349" s="16" t="n">
        <v>0.05314</v>
      </c>
      <c r="J349" s="16" t="n">
        <v>0.09163</v>
      </c>
      <c r="K349" s="15" t="s">
        <v>1539</v>
      </c>
      <c r="L349" s="16" t="n">
        <v>132.85</v>
      </c>
      <c r="M349" s="16" t="n">
        <v>54.24496</v>
      </c>
      <c r="N349" s="15" t="s">
        <v>1498</v>
      </c>
      <c r="O349" s="15" t="s">
        <v>1535</v>
      </c>
      <c r="P349" s="15" t="n">
        <v>0.724313135114791</v>
      </c>
      <c r="Q349" s="15" t="s">
        <v>1160</v>
      </c>
      <c r="R349" s="15" t="n">
        <v>-0.591682649604818</v>
      </c>
      <c r="S349" s="15" t="s">
        <v>1089</v>
      </c>
      <c r="T349" s="15" t="s">
        <v>1090</v>
      </c>
      <c r="U349" s="15" t="s">
        <v>1518</v>
      </c>
      <c r="V349" s="15" t="n">
        <v>2500</v>
      </c>
      <c r="W349" s="15" t="n">
        <v>592</v>
      </c>
      <c r="X349" s="15" t="s">
        <v>1536</v>
      </c>
      <c r="Y349" s="15" t="n">
        <v>-0.7632</v>
      </c>
    </row>
    <row r="350" customFormat="false" ht="13.8" hidden="true" customHeight="false" outlineLevel="0" collapsed="false">
      <c r="A350" s="15" t="s">
        <v>1488</v>
      </c>
      <c r="B350" s="15" t="s">
        <v>1514</v>
      </c>
      <c r="C350" s="15" t="s">
        <v>1533</v>
      </c>
      <c r="D350" s="15" t="s">
        <v>143</v>
      </c>
      <c r="H350" s="15" t="s">
        <v>1222</v>
      </c>
      <c r="I350" s="16" t="n">
        <v>0.00207</v>
      </c>
      <c r="J350" s="16" t="n">
        <v>9E-005</v>
      </c>
      <c r="K350" s="15" t="s">
        <v>1540</v>
      </c>
      <c r="L350" s="16" t="n">
        <v>5.175</v>
      </c>
      <c r="M350" s="16" t="n">
        <v>0.05328</v>
      </c>
      <c r="N350" s="15" t="s">
        <v>1528</v>
      </c>
      <c r="O350" s="15" t="s">
        <v>1535</v>
      </c>
      <c r="P350" s="15" t="n">
        <v>-0.956521739130435</v>
      </c>
      <c r="Q350" s="15" t="s">
        <v>1089</v>
      </c>
      <c r="R350" s="15" t="n">
        <v>-0.989704347826087</v>
      </c>
      <c r="S350" s="15" t="s">
        <v>1089</v>
      </c>
      <c r="T350" s="15" t="s">
        <v>1090</v>
      </c>
      <c r="U350" s="15" t="s">
        <v>1518</v>
      </c>
      <c r="V350" s="15" t="n">
        <v>2500</v>
      </c>
      <c r="W350" s="15" t="n">
        <v>592</v>
      </c>
      <c r="X350" s="15" t="s">
        <v>1536</v>
      </c>
      <c r="Y350" s="15" t="n">
        <v>-0.7632</v>
      </c>
    </row>
    <row r="351" customFormat="false" ht="13.8" hidden="true" customHeight="false" outlineLevel="0" collapsed="false">
      <c r="A351" s="15" t="s">
        <v>1488</v>
      </c>
      <c r="B351" s="15" t="s">
        <v>1514</v>
      </c>
      <c r="C351" s="15" t="s">
        <v>1533</v>
      </c>
      <c r="D351" s="15" t="s">
        <v>143</v>
      </c>
      <c r="H351" s="15" t="s">
        <v>1193</v>
      </c>
      <c r="I351" s="16" t="n">
        <v>0.00911</v>
      </c>
      <c r="J351" s="16" t="n">
        <v>0.02025</v>
      </c>
      <c r="K351" s="15" t="s">
        <v>1541</v>
      </c>
      <c r="L351" s="16" t="n">
        <v>22.775</v>
      </c>
      <c r="M351" s="16" t="n">
        <v>11.988</v>
      </c>
      <c r="N351" s="15" t="s">
        <v>1530</v>
      </c>
      <c r="O351" s="15" t="s">
        <v>1535</v>
      </c>
      <c r="P351" s="15" t="n">
        <v>1.22283205268935</v>
      </c>
      <c r="Q351" s="15" t="s">
        <v>1089</v>
      </c>
      <c r="R351" s="15" t="n">
        <v>-0.473633369923161</v>
      </c>
      <c r="S351" s="15" t="s">
        <v>1089</v>
      </c>
      <c r="T351" s="15" t="s">
        <v>1090</v>
      </c>
      <c r="U351" s="15" t="s">
        <v>1518</v>
      </c>
      <c r="V351" s="15" t="n">
        <v>2500</v>
      </c>
      <c r="W351" s="15" t="n">
        <v>592</v>
      </c>
      <c r="X351" s="15" t="s">
        <v>1536</v>
      </c>
      <c r="Y351" s="15" t="n">
        <v>-0.7632</v>
      </c>
    </row>
    <row r="352" customFormat="false" ht="13.8" hidden="true" customHeight="false" outlineLevel="0" collapsed="false">
      <c r="A352" s="15" t="s">
        <v>1488</v>
      </c>
      <c r="B352" s="15" t="s">
        <v>1514</v>
      </c>
      <c r="C352" s="15" t="s">
        <v>1533</v>
      </c>
      <c r="D352" s="15" t="s">
        <v>143</v>
      </c>
      <c r="H352" s="15" t="s">
        <v>1153</v>
      </c>
      <c r="I352" s="16" t="n">
        <v>4</v>
      </c>
      <c r="J352" s="16" t="n">
        <v>16.9</v>
      </c>
      <c r="K352" s="57" t="s">
        <v>1542</v>
      </c>
      <c r="L352" s="16" t="s">
        <v>628</v>
      </c>
      <c r="M352" s="16" t="s">
        <v>628</v>
      </c>
      <c r="N352" s="57" t="s">
        <v>1532</v>
      </c>
      <c r="O352" s="15" t="s">
        <v>1535</v>
      </c>
      <c r="P352" s="15" t="n">
        <v>3.225</v>
      </c>
      <c r="Q352" s="15" t="s">
        <v>1089</v>
      </c>
      <c r="R352" s="15" t="s">
        <v>628</v>
      </c>
      <c r="S352" s="15" t="s">
        <v>1089</v>
      </c>
      <c r="T352" s="15" t="s">
        <v>1090</v>
      </c>
      <c r="U352" s="15" t="s">
        <v>1518</v>
      </c>
      <c r="V352" s="15" t="n">
        <v>2500</v>
      </c>
      <c r="W352" s="15" t="n">
        <v>592</v>
      </c>
      <c r="X352" s="15" t="s">
        <v>1536</v>
      </c>
      <c r="Y352" s="15" t="n">
        <v>-0.7632</v>
      </c>
    </row>
  </sheetData>
  <autoFilter ref="A1:Y352">
    <filterColumn colId="10">
      <filters>
        <filter val="CO2-equ. / kg ECM"/>
        <filter val="kg CO2 eq. / kg (DM)"/>
        <filter val="kg CO2 eq. / t"/>
        <filter val="kg CO2 eq./kg"/>
        <filter val="kg CO2 eq./t"/>
        <filter val="kg CO2 equ. / kg LW"/>
        <filter val="kg CO2 equ./kg"/>
        <filter val="kg CO2-eq./kg CW"/>
        <filter val="kg CO2-eq./kg DW"/>
        <filter val="kg CO2-eq./kg eggs"/>
        <filter val="kg CO2-equ. / kg ECM"/>
        <filter val="kg CO2-equ. / kg milk"/>
        <filter val="kg CO2-equ. / l milk"/>
        <filter val="kg CO2-equ. /ha"/>
        <filter val="kg CO2-equ. /kg ECM"/>
        <filter val="kg CO2-equ. /kg milk"/>
      </filters>
    </filterColumn>
  </autoFilter>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G13" activeCellId="0" sqref="G13"/>
    </sheetView>
  </sheetViews>
  <sheetFormatPr defaultColWidth="11.53515625" defaultRowHeight="13.8" zeroHeight="false" outlineLevelRow="0" outlineLevelCol="0"/>
  <cols>
    <col collapsed="false" customWidth="true" hidden="false" outlineLevel="0" max="1" min="1" style="8" width="22.15"/>
    <col collapsed="false" customWidth="true" hidden="false" outlineLevel="0" max="2" min="2" style="8" width="17.99"/>
    <col collapsed="false" customWidth="true" hidden="false" outlineLevel="0" max="3" min="3" style="8" width="17.49"/>
    <col collapsed="false" customWidth="true" hidden="false" outlineLevel="0" max="4" min="4" style="8" width="19.4"/>
  </cols>
  <sheetData>
    <row r="1" customFormat="false" ht="24" hidden="false" customHeight="false" outlineLevel="0" collapsed="false">
      <c r="A1" s="53" t="s">
        <v>339</v>
      </c>
      <c r="B1" s="53" t="s">
        <v>1543</v>
      </c>
      <c r="C1" s="53" t="s">
        <v>1544</v>
      </c>
      <c r="D1" s="53" t="s">
        <v>1545</v>
      </c>
      <c r="F1" s="0" t="s">
        <v>86</v>
      </c>
      <c r="G1" s="17" t="s">
        <v>87</v>
      </c>
      <c r="H1" s="9" t="s">
        <v>88</v>
      </c>
      <c r="I1" s="0" t="s">
        <v>1153</v>
      </c>
    </row>
    <row r="2" customFormat="false" ht="13.8" hidden="false" customHeight="false" outlineLevel="0" collapsed="false">
      <c r="A2" s="58" t="s">
        <v>1546</v>
      </c>
      <c r="B2" s="46" t="s">
        <v>1547</v>
      </c>
      <c r="C2" s="46" t="s">
        <v>1548</v>
      </c>
      <c r="D2" s="46" t="s">
        <v>1549</v>
      </c>
      <c r="F2" s="0" t="s">
        <v>196</v>
      </c>
      <c r="G2" s="0" t="n">
        <f aca="false">(9+129)/2</f>
        <v>69</v>
      </c>
      <c r="H2" s="0" t="n">
        <f aca="false">G2/I2*10000</f>
        <v>3231.85011709602</v>
      </c>
      <c r="I2" s="0" t="n">
        <f aca="false">(7+420)/2</f>
        <v>213.5</v>
      </c>
    </row>
    <row r="3" customFormat="false" ht="13.8" hidden="false" customHeight="false" outlineLevel="0" collapsed="false">
      <c r="A3" s="58" t="s">
        <v>1550</v>
      </c>
      <c r="B3" s="46" t="s">
        <v>1551</v>
      </c>
      <c r="C3" s="46" t="s">
        <v>1552</v>
      </c>
      <c r="D3" s="46" t="s">
        <v>1553</v>
      </c>
    </row>
    <row r="4" customFormat="false" ht="24" hidden="false" customHeight="false" outlineLevel="0" collapsed="false">
      <c r="A4" s="58" t="s">
        <v>1554</v>
      </c>
      <c r="B4" s="46" t="s">
        <v>1555</v>
      </c>
      <c r="C4" s="46" t="s">
        <v>1556</v>
      </c>
      <c r="D4" s="46" t="s">
        <v>1557</v>
      </c>
    </row>
    <row r="5" customFormat="false" ht="24" hidden="false" customHeight="false" outlineLevel="0" collapsed="false">
      <c r="A5" s="58" t="s">
        <v>1558</v>
      </c>
      <c r="B5" s="46" t="s">
        <v>1559</v>
      </c>
      <c r="C5" s="46" t="s">
        <v>1560</v>
      </c>
      <c r="D5" s="46" t="s">
        <v>1561</v>
      </c>
    </row>
    <row r="6" customFormat="false" ht="13.8" hidden="false" customHeight="false" outlineLevel="0" collapsed="false">
      <c r="A6" s="58" t="s">
        <v>1562</v>
      </c>
      <c r="B6" s="46" t="s">
        <v>1563</v>
      </c>
      <c r="C6" s="46" t="n">
        <v>7</v>
      </c>
      <c r="D6" s="46" t="s">
        <v>1564</v>
      </c>
    </row>
    <row r="7" customFormat="false" ht="13.8" hidden="false" customHeight="false" outlineLevel="0" collapsed="false">
      <c r="A7" s="58" t="s">
        <v>1565</v>
      </c>
      <c r="B7" s="46" t="s">
        <v>1566</v>
      </c>
      <c r="C7" s="46" t="s">
        <v>1567</v>
      </c>
      <c r="D7" s="59"/>
      <c r="F7" s="0" t="s">
        <v>1568</v>
      </c>
      <c r="G7" s="0" t="n">
        <f aca="false">(4+11)/2</f>
        <v>7.5</v>
      </c>
      <c r="H7" s="0" t="n">
        <f aca="false">G7/I7*10000</f>
        <v>6521.73913043478</v>
      </c>
      <c r="I7" s="0" t="n">
        <f aca="false">(8+15)/2</f>
        <v>11.5</v>
      </c>
    </row>
    <row r="8" customFormat="false" ht="13.8" hidden="false" customHeight="false" outlineLevel="0" collapsed="false">
      <c r="A8" s="58" t="s">
        <v>1569</v>
      </c>
      <c r="B8" s="46" t="s">
        <v>1570</v>
      </c>
      <c r="C8" s="46" t="s">
        <v>1571</v>
      </c>
      <c r="D8" s="59"/>
      <c r="F8" s="0" t="s">
        <v>1572</v>
      </c>
      <c r="G8" s="0" t="n">
        <f aca="false">(2+6)/2</f>
        <v>4</v>
      </c>
      <c r="H8" s="0" t="n">
        <f aca="false">G8/I8*10000</f>
        <v>6153.84615384615</v>
      </c>
      <c r="I8" s="0" t="n">
        <f aca="false">(5+8)/2</f>
        <v>6.5</v>
      </c>
    </row>
    <row r="9" customFormat="false" ht="13.8" hidden="false" customHeight="false" outlineLevel="0" collapsed="false">
      <c r="A9" s="58" t="s">
        <v>1573</v>
      </c>
      <c r="B9" s="46" t="s">
        <v>1570</v>
      </c>
      <c r="C9" s="46" t="s">
        <v>1574</v>
      </c>
      <c r="D9" s="59"/>
      <c r="F9" s="0" t="s">
        <v>1575</v>
      </c>
      <c r="G9" s="0" t="n">
        <f aca="false">(2+6)/2</f>
        <v>4</v>
      </c>
      <c r="H9" s="0" t="n">
        <f aca="false">G9/I9*10000</f>
        <v>7272.72727272727</v>
      </c>
      <c r="I9" s="0" t="n">
        <f aca="false">(4+7)/2</f>
        <v>5.5</v>
      </c>
    </row>
    <row r="10" customFormat="false" ht="24" hidden="false" customHeight="false" outlineLevel="0" collapsed="false">
      <c r="A10" s="58" t="s">
        <v>1576</v>
      </c>
      <c r="B10" s="46" t="s">
        <v>1577</v>
      </c>
      <c r="C10" s="46" t="s">
        <v>1578</v>
      </c>
      <c r="D10" s="46" t="s">
        <v>1579</v>
      </c>
    </row>
    <row r="11" customFormat="false" ht="13.8" hidden="false" customHeight="false" outlineLevel="0" collapsed="false">
      <c r="A11" s="58" t="s">
        <v>1580</v>
      </c>
      <c r="B11" s="46" t="s">
        <v>1581</v>
      </c>
      <c r="C11" s="46" t="s">
        <v>1581</v>
      </c>
      <c r="D11" s="46" t="s">
        <v>1582</v>
      </c>
    </row>
    <row r="12" customFormat="false" ht="13.8" hidden="false" customHeight="false" outlineLevel="0" collapsed="false">
      <c r="A12" s="58" t="s">
        <v>1583</v>
      </c>
      <c r="B12" s="46" t="s">
        <v>1584</v>
      </c>
      <c r="C12" s="46" t="s">
        <v>1585</v>
      </c>
      <c r="D12" s="46" t="s">
        <v>1586</v>
      </c>
      <c r="G12" s="0" t="s">
        <v>1587</v>
      </c>
    </row>
    <row r="13" customFormat="false" ht="24" hidden="false" customHeight="false" outlineLevel="0" collapsed="false">
      <c r="A13" s="58" t="s">
        <v>1588</v>
      </c>
      <c r="B13" s="46" t="s">
        <v>1589</v>
      </c>
      <c r="C13" s="46" t="s">
        <v>1590</v>
      </c>
      <c r="D13" s="59"/>
    </row>
    <row r="14" customFormat="false" ht="35" hidden="false" customHeight="false" outlineLevel="0" collapsed="false">
      <c r="A14" s="58" t="s">
        <v>1591</v>
      </c>
      <c r="B14" s="46" t="s">
        <v>1592</v>
      </c>
      <c r="C14" s="46" t="s">
        <v>1593</v>
      </c>
      <c r="D14" s="59"/>
    </row>
    <row r="15" customFormat="false" ht="35" hidden="false" customHeight="false" outlineLevel="0" collapsed="false">
      <c r="A15" s="58" t="s">
        <v>1594</v>
      </c>
      <c r="B15" s="46" t="s">
        <v>1595</v>
      </c>
      <c r="C15" s="46" t="s">
        <v>1596</v>
      </c>
      <c r="D15" s="46" t="s">
        <v>1597</v>
      </c>
    </row>
    <row r="16" customFormat="false" ht="24" hidden="false" customHeight="false" outlineLevel="0" collapsed="false">
      <c r="A16" s="58" t="s">
        <v>1598</v>
      </c>
      <c r="B16" s="46" t="s">
        <v>1581</v>
      </c>
      <c r="C16" s="46" t="s">
        <v>1599</v>
      </c>
      <c r="D16" s="59"/>
    </row>
    <row r="17" customFormat="false" ht="24" hidden="false" customHeight="false" outlineLevel="0" collapsed="false">
      <c r="A17" s="58" t="s">
        <v>1600</v>
      </c>
      <c r="B17" s="46" t="s">
        <v>1581</v>
      </c>
      <c r="C17" s="46" t="s">
        <v>1601</v>
      </c>
      <c r="D17" s="5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6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42" activeCellId="0" sqref="A42"/>
    </sheetView>
  </sheetViews>
  <sheetFormatPr defaultColWidth="8.96484375" defaultRowHeight="15" zeroHeight="false" outlineLevelRow="0" outlineLevelCol="0"/>
  <cols>
    <col collapsed="false" customWidth="true" hidden="false" outlineLevel="0" max="1" min="1" style="8" width="27.56"/>
    <col collapsed="false" customWidth="true" hidden="false" outlineLevel="0" max="2" min="2" style="8" width="18.85"/>
    <col collapsed="false" customWidth="true" hidden="false" outlineLevel="0" max="12" min="3" style="8" width="9.85"/>
    <col collapsed="false" customWidth="true" hidden="false" outlineLevel="0" max="16" min="13" style="8" width="16.28"/>
    <col collapsed="false" customWidth="true" hidden="false" outlineLevel="0" max="17" min="17" style="8" width="1.99"/>
    <col collapsed="false" customWidth="true" hidden="false" outlineLevel="0" max="18" min="18" style="8" width="18.85"/>
    <col collapsed="false" customWidth="true" hidden="false" outlineLevel="0" max="21" min="19" style="8" width="9.85"/>
    <col collapsed="false" customWidth="true" hidden="false" outlineLevel="0" max="22" min="22" style="8" width="16.28"/>
  </cols>
  <sheetData>
    <row r="1" customFormat="false" ht="18" hidden="false" customHeight="true" outlineLevel="0" collapsed="false">
      <c r="A1" s="60"/>
      <c r="B1" s="60"/>
      <c r="C1" s="61" t="s">
        <v>1602</v>
      </c>
      <c r="D1" s="62"/>
      <c r="E1" s="62"/>
      <c r="F1" s="62"/>
      <c r="G1" s="62"/>
      <c r="H1" s="62"/>
      <c r="I1" s="62"/>
      <c r="J1" s="62"/>
      <c r="K1" s="62"/>
      <c r="L1" s="62"/>
      <c r="M1" s="62"/>
      <c r="N1" s="62"/>
      <c r="O1" s="62"/>
      <c r="P1" s="63"/>
      <c r="R1" s="64" t="s">
        <v>1603</v>
      </c>
      <c r="S1" s="61" t="s">
        <v>1604</v>
      </c>
      <c r="T1" s="62"/>
      <c r="U1" s="62"/>
    </row>
    <row r="2" customFormat="false" ht="18" hidden="false" customHeight="true" outlineLevel="0" collapsed="false">
      <c r="A2" s="60"/>
      <c r="B2" s="65" t="s">
        <v>1605</v>
      </c>
      <c r="C2" s="66" t="s">
        <v>1606</v>
      </c>
      <c r="D2" s="67"/>
      <c r="E2" s="68"/>
      <c r="F2" s="69" t="s">
        <v>1607</v>
      </c>
      <c r="G2" s="67"/>
      <c r="H2" s="67"/>
      <c r="I2" s="67"/>
      <c r="J2" s="67"/>
      <c r="K2" s="67"/>
      <c r="L2" s="67"/>
      <c r="M2" s="70" t="s">
        <v>1608</v>
      </c>
      <c r="N2" s="70" t="s">
        <v>1609</v>
      </c>
      <c r="O2" s="70" t="s">
        <v>1610</v>
      </c>
      <c r="P2" s="70" t="s">
        <v>1611</v>
      </c>
      <c r="R2" s="64"/>
      <c r="S2" s="66" t="s">
        <v>1606</v>
      </c>
      <c r="T2" s="67"/>
      <c r="U2" s="68"/>
      <c r="V2" s="70" t="s">
        <v>1610</v>
      </c>
    </row>
    <row r="3" customFormat="false" ht="15" hidden="false" customHeight="false" outlineLevel="0" collapsed="false">
      <c r="A3" s="62" t="s">
        <v>339</v>
      </c>
      <c r="B3" s="65"/>
      <c r="C3" s="71" t="s">
        <v>1612</v>
      </c>
      <c r="D3" s="72" t="s">
        <v>1613</v>
      </c>
      <c r="E3" s="73" t="s">
        <v>1614</v>
      </c>
      <c r="F3" s="72" t="s">
        <v>1615</v>
      </c>
      <c r="G3" s="72" t="s">
        <v>1616</v>
      </c>
      <c r="H3" s="72" t="s">
        <v>1617</v>
      </c>
      <c r="I3" s="72" t="s">
        <v>342</v>
      </c>
      <c r="J3" s="72" t="s">
        <v>344</v>
      </c>
      <c r="K3" s="72" t="s">
        <v>1618</v>
      </c>
      <c r="L3" s="72" t="s">
        <v>1619</v>
      </c>
      <c r="M3" s="74" t="s">
        <v>340</v>
      </c>
      <c r="N3" s="74" t="s">
        <v>340</v>
      </c>
      <c r="O3" s="74" t="s">
        <v>340</v>
      </c>
      <c r="P3" s="74" t="s">
        <v>340</v>
      </c>
      <c r="R3" s="64"/>
      <c r="S3" s="71" t="s">
        <v>1612</v>
      </c>
      <c r="T3" s="72" t="s">
        <v>1613</v>
      </c>
      <c r="U3" s="73" t="s">
        <v>1614</v>
      </c>
      <c r="V3" s="74" t="s">
        <v>340</v>
      </c>
    </row>
    <row r="4" customFormat="false" ht="15" hidden="false" customHeight="false" outlineLevel="0" collapsed="false">
      <c r="A4" s="8" t="s">
        <v>1620</v>
      </c>
      <c r="B4" s="75" t="n">
        <v>482152</v>
      </c>
      <c r="C4" s="76" t="n">
        <v>2.55</v>
      </c>
      <c r="D4" s="77" t="n">
        <v>0.932</v>
      </c>
      <c r="E4" s="78" t="n">
        <v>0</v>
      </c>
      <c r="F4" s="79" t="n">
        <v>0.1</v>
      </c>
      <c r="G4" s="79" t="n">
        <v>0</v>
      </c>
      <c r="H4" s="79" t="n">
        <v>0.847</v>
      </c>
      <c r="I4" s="79" t="n">
        <v>0.217</v>
      </c>
      <c r="J4" s="79" t="n">
        <v>0.129</v>
      </c>
      <c r="K4" s="79" t="n">
        <v>0.09</v>
      </c>
      <c r="L4" s="79" t="n">
        <v>0.058</v>
      </c>
      <c r="M4" s="80" t="n">
        <v>0.01209</v>
      </c>
      <c r="N4" s="80" t="n">
        <v>0.00706</v>
      </c>
      <c r="O4" s="81" t="n">
        <v>567</v>
      </c>
      <c r="P4" s="81" t="n">
        <v>28918</v>
      </c>
      <c r="R4" s="81" t="n">
        <v>502601</v>
      </c>
      <c r="S4" s="76" t="n">
        <v>2.547</v>
      </c>
      <c r="T4" s="77" t="n">
        <v>0.948</v>
      </c>
      <c r="U4" s="78" t="n">
        <v>0</v>
      </c>
      <c r="V4" s="81" t="n">
        <v>568</v>
      </c>
    </row>
    <row r="5" customFormat="false" ht="15" hidden="false" customHeight="false" outlineLevel="0" collapsed="false">
      <c r="A5" s="8" t="s">
        <v>1621</v>
      </c>
      <c r="B5" s="75" t="n">
        <v>194554</v>
      </c>
      <c r="C5" s="76" t="n">
        <v>1.171</v>
      </c>
      <c r="D5" s="77" t="n">
        <v>0.457</v>
      </c>
      <c r="E5" s="78" t="n">
        <v>0</v>
      </c>
      <c r="F5" s="79" t="n">
        <v>0.315</v>
      </c>
      <c r="G5" s="79" t="n">
        <v>0</v>
      </c>
      <c r="H5" s="79" t="n">
        <v>0.475</v>
      </c>
      <c r="I5" s="79" t="n">
        <v>0.052</v>
      </c>
      <c r="J5" s="79" t="n">
        <v>0.06</v>
      </c>
      <c r="K5" s="79" t="n">
        <v>0.06</v>
      </c>
      <c r="L5" s="79" t="n">
        <v>0.026</v>
      </c>
      <c r="M5" s="80" t="n">
        <v>0.00673</v>
      </c>
      <c r="N5" s="80" t="n">
        <v>0.00226</v>
      </c>
      <c r="O5" s="81" t="n">
        <v>120</v>
      </c>
      <c r="P5" s="81" t="n">
        <v>6007</v>
      </c>
      <c r="R5" s="81" t="n">
        <v>372539</v>
      </c>
      <c r="S5" s="76" t="n">
        <v>1.164</v>
      </c>
      <c r="T5" s="77" t="n">
        <v>0.455</v>
      </c>
      <c r="U5" s="78" t="n">
        <v>0</v>
      </c>
      <c r="V5" s="81" t="n">
        <v>120</v>
      </c>
    </row>
    <row r="6" customFormat="false" ht="15" hidden="false" customHeight="false" outlineLevel="0" collapsed="false">
      <c r="A6" s="8" t="s">
        <v>1622</v>
      </c>
      <c r="B6" s="75" t="n">
        <v>206523</v>
      </c>
      <c r="C6" s="76" t="n">
        <v>0.674</v>
      </c>
      <c r="D6" s="77" t="n">
        <v>0.266</v>
      </c>
      <c r="E6" s="78" t="n">
        <v>0</v>
      </c>
      <c r="F6" s="79" t="n">
        <v>0.009</v>
      </c>
      <c r="G6" s="79" t="n">
        <v>0</v>
      </c>
      <c r="H6" s="79" t="n">
        <v>0.176</v>
      </c>
      <c r="I6" s="79" t="n">
        <v>0.128</v>
      </c>
      <c r="J6" s="79" t="n">
        <v>0.035</v>
      </c>
      <c r="K6" s="79" t="n">
        <v>0.497</v>
      </c>
      <c r="L6" s="79" t="n">
        <v>0.264</v>
      </c>
      <c r="M6" s="80" t="n">
        <v>0.00612</v>
      </c>
      <c r="N6" s="80" t="n">
        <v>0.00211</v>
      </c>
      <c r="O6" s="81" t="n">
        <v>15</v>
      </c>
      <c r="P6" s="81" t="n">
        <v>604</v>
      </c>
      <c r="R6" s="81" t="n">
        <v>206828</v>
      </c>
      <c r="S6" s="76" t="n">
        <v>0.589</v>
      </c>
      <c r="T6" s="77" t="n">
        <v>0.231</v>
      </c>
      <c r="U6" s="78" t="n">
        <v>0</v>
      </c>
      <c r="V6" s="81" t="n">
        <v>14</v>
      </c>
    </row>
    <row r="7" customFormat="false" ht="15" hidden="false" customHeight="false" outlineLevel="0" collapsed="false">
      <c r="A7" s="8" t="s">
        <v>1623</v>
      </c>
      <c r="B7" s="75" t="n">
        <v>4463</v>
      </c>
      <c r="C7" s="76" t="n">
        <v>3.414</v>
      </c>
      <c r="D7" s="77" t="n">
        <v>1.352</v>
      </c>
      <c r="E7" s="78" t="n">
        <v>0</v>
      </c>
      <c r="F7" s="79" t="n">
        <v>0.001</v>
      </c>
      <c r="G7" s="79" t="n">
        <v>0</v>
      </c>
      <c r="H7" s="79" t="n">
        <v>1.37</v>
      </c>
      <c r="I7" s="79" t="n">
        <v>0.042</v>
      </c>
      <c r="J7" s="79" t="n">
        <v>0.067</v>
      </c>
      <c r="K7" s="79" t="n">
        <v>0.066</v>
      </c>
      <c r="L7" s="79" t="n">
        <v>0.029</v>
      </c>
      <c r="M7" s="80" t="n">
        <v>0.00697</v>
      </c>
      <c r="N7" s="80" t="n">
        <v>0.00705</v>
      </c>
      <c r="O7" s="81" t="n">
        <v>302</v>
      </c>
      <c r="P7" s="81" t="n">
        <v>11774</v>
      </c>
      <c r="R7" s="81" t="n">
        <v>4485</v>
      </c>
      <c r="S7" s="76" t="n">
        <v>3.402</v>
      </c>
      <c r="T7" s="77" t="n">
        <v>1.349</v>
      </c>
      <c r="U7" s="78" t="n">
        <v>0</v>
      </c>
      <c r="V7" s="81" t="n">
        <v>299</v>
      </c>
    </row>
    <row r="8" customFormat="false" ht="15" hidden="false" customHeight="false" outlineLevel="0" collapsed="false">
      <c r="A8" s="8" t="s">
        <v>1624</v>
      </c>
      <c r="B8" s="75" t="n">
        <v>397780</v>
      </c>
      <c r="C8" s="76" t="n">
        <v>2.093</v>
      </c>
      <c r="D8" s="77" t="n">
        <v>0.308</v>
      </c>
      <c r="E8" s="78" t="n">
        <v>0</v>
      </c>
      <c r="F8" s="79" t="n">
        <v>-0.022</v>
      </c>
      <c r="G8" s="79" t="n">
        <v>0</v>
      </c>
      <c r="H8" s="79" t="n">
        <v>3.553</v>
      </c>
      <c r="I8" s="79" t="n">
        <v>0.065</v>
      </c>
      <c r="J8" s="79" t="n">
        <v>0.096</v>
      </c>
      <c r="K8" s="79" t="n">
        <v>0.084</v>
      </c>
      <c r="L8" s="79" t="n">
        <v>0.063</v>
      </c>
      <c r="M8" s="80" t="n">
        <v>0.02357</v>
      </c>
      <c r="N8" s="80" t="n">
        <v>0.02972</v>
      </c>
      <c r="O8" s="81" t="n">
        <v>1962</v>
      </c>
      <c r="P8" s="81" t="n">
        <v>43275</v>
      </c>
      <c r="R8" s="81" t="n">
        <v>413660</v>
      </c>
      <c r="S8" s="76" t="n">
        <v>2.07</v>
      </c>
      <c r="T8" s="77" t="n">
        <v>0.303</v>
      </c>
      <c r="U8" s="78" t="n">
        <v>0</v>
      </c>
      <c r="V8" s="81" t="n">
        <v>1963</v>
      </c>
    </row>
    <row r="9" customFormat="false" ht="15" hidden="false" customHeight="false" outlineLevel="0" collapsed="false">
      <c r="A9" s="8" t="s">
        <v>1625</v>
      </c>
      <c r="B9" s="75" t="n">
        <v>332343</v>
      </c>
      <c r="C9" s="76" t="n">
        <v>0.498</v>
      </c>
      <c r="D9" s="77" t="n">
        <v>0.145</v>
      </c>
      <c r="E9" s="78" t="n">
        <v>0</v>
      </c>
      <c r="F9" s="79" t="n">
        <v>-0.001</v>
      </c>
      <c r="G9" s="79" t="n">
        <v>0</v>
      </c>
      <c r="H9" s="79" t="n">
        <v>0.193</v>
      </c>
      <c r="I9" s="79" t="n">
        <v>0</v>
      </c>
      <c r="J9" s="79" t="n">
        <v>0.094</v>
      </c>
      <c r="K9" s="79" t="n">
        <v>0.045</v>
      </c>
      <c r="L9" s="79" t="n">
        <v>0.039</v>
      </c>
      <c r="M9" s="80" t="n">
        <v>0.00323</v>
      </c>
      <c r="N9" s="80" t="n">
        <v>0.00255</v>
      </c>
      <c r="O9" s="81" t="n">
        <v>43</v>
      </c>
      <c r="P9" s="81" t="n">
        <v>2027</v>
      </c>
      <c r="R9" s="81" t="n">
        <v>340906</v>
      </c>
      <c r="S9" s="76" t="n">
        <v>0.497</v>
      </c>
      <c r="T9" s="77" t="n">
        <v>0.144</v>
      </c>
      <c r="U9" s="78" t="n">
        <v>0</v>
      </c>
      <c r="V9" s="81" t="n">
        <v>43</v>
      </c>
    </row>
    <row r="10" customFormat="false" ht="15" hidden="false" customHeight="false" outlineLevel="0" collapsed="false">
      <c r="A10" s="8" t="s">
        <v>1626</v>
      </c>
      <c r="B10" s="75" t="n">
        <v>173814</v>
      </c>
      <c r="C10" s="76" t="n">
        <v>0.934</v>
      </c>
      <c r="D10" s="77" t="n">
        <v>0.32</v>
      </c>
      <c r="E10" s="78" t="n">
        <v>0</v>
      </c>
      <c r="F10" s="79" t="n">
        <v>0.589</v>
      </c>
      <c r="G10" s="79" t="n">
        <v>0</v>
      </c>
      <c r="H10" s="79" t="n">
        <v>0.22</v>
      </c>
      <c r="I10" s="79" t="n">
        <v>0</v>
      </c>
      <c r="J10" s="79" t="n">
        <v>0.094</v>
      </c>
      <c r="K10" s="79" t="n">
        <v>0.045</v>
      </c>
      <c r="L10" s="79" t="n">
        <v>0.039</v>
      </c>
      <c r="M10" s="80" t="n">
        <v>0.00298</v>
      </c>
      <c r="N10" s="80" t="n">
        <v>0.00056</v>
      </c>
      <c r="O10" s="81" t="n">
        <v>0</v>
      </c>
      <c r="P10" s="81" t="n">
        <v>0</v>
      </c>
      <c r="R10" s="81" t="n">
        <v>213351</v>
      </c>
      <c r="S10" s="76" t="n">
        <v>0.933</v>
      </c>
      <c r="T10" s="77" t="n">
        <v>0.322</v>
      </c>
      <c r="U10" s="78" t="n">
        <v>0</v>
      </c>
      <c r="V10" s="81" t="n">
        <v>0</v>
      </c>
    </row>
    <row r="11" customFormat="false" ht="15" hidden="false" customHeight="false" outlineLevel="0" collapsed="false">
      <c r="A11" s="8" t="s">
        <v>1627</v>
      </c>
      <c r="B11" s="75" t="n">
        <v>141702</v>
      </c>
      <c r="C11" s="76" t="n">
        <v>1.213</v>
      </c>
      <c r="D11" s="77" t="n">
        <v>0.381</v>
      </c>
      <c r="E11" s="78" t="n">
        <v>0</v>
      </c>
      <c r="F11" s="79" t="n">
        <v>1.247</v>
      </c>
      <c r="G11" s="79" t="n">
        <v>0</v>
      </c>
      <c r="H11" s="79" t="n">
        <v>0.485</v>
      </c>
      <c r="I11" s="79" t="n">
        <v>0.037</v>
      </c>
      <c r="J11" s="79" t="n">
        <v>0.784</v>
      </c>
      <c r="K11" s="79" t="n">
        <v>0.083</v>
      </c>
      <c r="L11" s="79" t="n">
        <v>0.036</v>
      </c>
      <c r="M11" s="80" t="n">
        <v>0.01537</v>
      </c>
      <c r="N11" s="80" t="n">
        <v>0.0136</v>
      </c>
      <c r="O11" s="81" t="n">
        <v>492</v>
      </c>
      <c r="P11" s="81" t="n">
        <v>13096</v>
      </c>
      <c r="R11" s="81" t="n">
        <v>199238</v>
      </c>
      <c r="S11" s="76" t="n">
        <v>1.314</v>
      </c>
      <c r="T11" s="77" t="n">
        <v>0.412</v>
      </c>
      <c r="U11" s="78" t="n">
        <v>0</v>
      </c>
      <c r="V11" s="81" t="n">
        <v>599</v>
      </c>
    </row>
    <row r="12" customFormat="false" ht="15" hidden="false" customHeight="false" outlineLevel="0" collapsed="false">
      <c r="A12" s="8" t="s">
        <v>1628</v>
      </c>
      <c r="B12" s="75" t="n">
        <v>34038</v>
      </c>
      <c r="C12" s="76" t="n">
        <v>1.159</v>
      </c>
      <c r="D12" s="77" t="n">
        <v>0.274</v>
      </c>
      <c r="E12" s="78" t="n">
        <v>0</v>
      </c>
      <c r="F12" s="79" t="n">
        <v>0</v>
      </c>
      <c r="G12" s="79" t="n">
        <v>0</v>
      </c>
      <c r="H12" s="79" t="n">
        <v>0.536</v>
      </c>
      <c r="I12" s="79" t="n">
        <v>0.242</v>
      </c>
      <c r="J12" s="79" t="n">
        <v>0.629</v>
      </c>
      <c r="K12" s="79" t="n">
        <v>0.09</v>
      </c>
      <c r="L12" s="79" t="n">
        <v>0.039</v>
      </c>
      <c r="M12" s="80" t="n">
        <v>0.01076</v>
      </c>
      <c r="N12" s="80" t="n">
        <v>0.00437</v>
      </c>
      <c r="O12" s="81" t="n">
        <v>170</v>
      </c>
      <c r="P12" s="81" t="n">
        <v>7413</v>
      </c>
      <c r="R12" s="81" t="n">
        <v>66972</v>
      </c>
      <c r="S12" s="76" t="n">
        <v>1.377</v>
      </c>
      <c r="T12" s="77" t="n">
        <v>0.324</v>
      </c>
      <c r="U12" s="78" t="n">
        <v>0</v>
      </c>
      <c r="V12" s="81" t="n">
        <v>199</v>
      </c>
    </row>
    <row r="13" customFormat="false" ht="15" hidden="false" customHeight="false" outlineLevel="0" collapsed="false">
      <c r="A13" s="8" t="s">
        <v>1629</v>
      </c>
      <c r="B13" s="75" t="n">
        <v>42765</v>
      </c>
      <c r="C13" s="76" t="n">
        <v>9.851</v>
      </c>
      <c r="D13" s="77" t="n">
        <v>3.769</v>
      </c>
      <c r="E13" s="78" t="n">
        <v>0</v>
      </c>
      <c r="F13" s="79" t="n">
        <v>0.033</v>
      </c>
      <c r="G13" s="79" t="n">
        <v>0</v>
      </c>
      <c r="H13" s="79" t="n">
        <v>1.089</v>
      </c>
      <c r="I13" s="79" t="n">
        <v>0</v>
      </c>
      <c r="J13" s="79" t="n">
        <v>0.096</v>
      </c>
      <c r="K13" s="79" t="n">
        <v>0.353</v>
      </c>
      <c r="L13" s="79" t="n">
        <v>0.039</v>
      </c>
      <c r="M13" s="80" t="n">
        <v>0.01913</v>
      </c>
      <c r="N13" s="80" t="n">
        <v>0.01501</v>
      </c>
      <c r="O13" s="81" t="n">
        <v>364</v>
      </c>
      <c r="P13" s="81" t="n">
        <v>18670</v>
      </c>
      <c r="R13" s="81" t="n">
        <v>43390</v>
      </c>
      <c r="S13" s="76" t="n">
        <v>9.838</v>
      </c>
      <c r="T13" s="77" t="n">
        <v>3.702</v>
      </c>
      <c r="U13" s="78" t="n">
        <v>0</v>
      </c>
      <c r="V13" s="81" t="n">
        <v>364</v>
      </c>
    </row>
    <row r="14" customFormat="false" ht="15" hidden="false" customHeight="false" outlineLevel="0" collapsed="false">
      <c r="A14" s="8" t="s">
        <v>1630</v>
      </c>
      <c r="B14" s="75" t="n">
        <v>6026</v>
      </c>
      <c r="C14" s="76" t="n">
        <v>5.354</v>
      </c>
      <c r="D14" s="77" t="n">
        <v>1.384</v>
      </c>
      <c r="E14" s="78" t="n">
        <v>0</v>
      </c>
      <c r="F14" s="79" t="n">
        <v>0</v>
      </c>
      <c r="G14" s="79" t="n">
        <v>0</v>
      </c>
      <c r="H14" s="79" t="n">
        <v>0.717</v>
      </c>
      <c r="I14" s="79" t="n">
        <v>0</v>
      </c>
      <c r="J14" s="79" t="n">
        <v>0.095</v>
      </c>
      <c r="K14" s="79" t="n">
        <v>0.045</v>
      </c>
      <c r="L14" s="79" t="n">
        <v>0.039</v>
      </c>
      <c r="M14" s="80" t="n">
        <v>0.00759</v>
      </c>
      <c r="N14" s="80" t="n">
        <v>0.00683</v>
      </c>
      <c r="O14" s="81" t="n">
        <v>353</v>
      </c>
      <c r="P14" s="81" t="n">
        <v>24856</v>
      </c>
      <c r="R14" s="81" t="n">
        <v>6080</v>
      </c>
      <c r="S14" s="76" t="n">
        <v>5.337</v>
      </c>
      <c r="T14" s="77" t="n">
        <v>1.38</v>
      </c>
      <c r="U14" s="78" t="n">
        <v>0</v>
      </c>
      <c r="V14" s="81" t="n">
        <v>342</v>
      </c>
    </row>
    <row r="15" customFormat="false" ht="15" hidden="false" customHeight="false" outlineLevel="0" collapsed="false">
      <c r="A15" s="8" t="s">
        <v>1631</v>
      </c>
      <c r="B15" s="75" t="n">
        <v>15296</v>
      </c>
      <c r="C15" s="76" t="n">
        <v>4.681</v>
      </c>
      <c r="D15" s="77" t="n">
        <v>0.399</v>
      </c>
      <c r="E15" s="78" t="n">
        <v>0</v>
      </c>
      <c r="F15" s="79" t="n">
        <v>-2.052</v>
      </c>
      <c r="G15" s="79" t="n">
        <v>0</v>
      </c>
      <c r="H15" s="79" t="n">
        <v>2.126</v>
      </c>
      <c r="I15" s="79" t="n">
        <v>0.032</v>
      </c>
      <c r="J15" s="79" t="n">
        <v>0.067</v>
      </c>
      <c r="K15" s="79" t="n">
        <v>0.078</v>
      </c>
      <c r="L15" s="79" t="n">
        <v>0.027</v>
      </c>
      <c r="M15" s="80" t="n">
        <v>0.01904</v>
      </c>
      <c r="N15" s="80" t="n">
        <v>0.0088</v>
      </c>
      <c r="O15" s="81" t="n">
        <v>1914</v>
      </c>
      <c r="P15" s="81" t="n">
        <v>106382</v>
      </c>
      <c r="R15" s="81" t="n">
        <v>15383</v>
      </c>
      <c r="S15" s="76" t="n">
        <v>4.628</v>
      </c>
      <c r="T15" s="77" t="n">
        <v>0.394</v>
      </c>
      <c r="U15" s="78" t="n">
        <v>0</v>
      </c>
      <c r="V15" s="81" t="n">
        <v>1927</v>
      </c>
    </row>
    <row r="16" customFormat="false" ht="15" hidden="false" customHeight="false" outlineLevel="0" collapsed="false">
      <c r="A16" s="8" t="s">
        <v>1632</v>
      </c>
      <c r="B16" s="75" t="n">
        <v>11827</v>
      </c>
      <c r="C16" s="76" t="n">
        <v>5.802</v>
      </c>
      <c r="D16" s="77" t="n">
        <v>1.169</v>
      </c>
      <c r="E16" s="78" t="n">
        <v>0</v>
      </c>
      <c r="F16" s="79" t="n">
        <v>0.439</v>
      </c>
      <c r="G16" s="79" t="n">
        <v>0</v>
      </c>
      <c r="H16" s="79" t="n">
        <v>1.425</v>
      </c>
      <c r="I16" s="79" t="n">
        <v>0.372</v>
      </c>
      <c r="J16" s="79" t="n">
        <v>0.12</v>
      </c>
      <c r="K16" s="79" t="n">
        <v>0.099</v>
      </c>
      <c r="L16" s="79" t="n">
        <v>0.042</v>
      </c>
      <c r="M16" s="80" t="n">
        <v>0.01792</v>
      </c>
      <c r="N16" s="80" t="n">
        <v>0.01117</v>
      </c>
      <c r="O16" s="81" t="n">
        <v>1431</v>
      </c>
      <c r="P16" s="81" t="n">
        <v>48147</v>
      </c>
      <c r="R16" s="81" t="n">
        <v>12743</v>
      </c>
      <c r="S16" s="76" t="n">
        <v>5.784</v>
      </c>
      <c r="T16" s="77" t="n">
        <v>1.167</v>
      </c>
      <c r="U16" s="78" t="n">
        <v>0</v>
      </c>
      <c r="V16" s="81" t="n">
        <v>1429</v>
      </c>
    </row>
    <row r="17" customFormat="false" ht="15" hidden="false" customHeight="false" outlineLevel="0" collapsed="false">
      <c r="A17" s="8" t="s">
        <v>1633</v>
      </c>
      <c r="B17" s="75" t="n">
        <v>33318</v>
      </c>
      <c r="C17" s="76" t="n">
        <v>0.464</v>
      </c>
      <c r="D17" s="77" t="n">
        <v>0.128</v>
      </c>
      <c r="E17" s="78" t="n">
        <v>0</v>
      </c>
      <c r="F17" s="79" t="n">
        <v>0.18</v>
      </c>
      <c r="G17" s="79" t="n">
        <v>0</v>
      </c>
      <c r="H17" s="79" t="n">
        <v>0.093</v>
      </c>
      <c r="I17" s="79" t="n">
        <v>0.163</v>
      </c>
      <c r="J17" s="79" t="n">
        <v>0.11</v>
      </c>
      <c r="K17" s="79" t="n">
        <v>0.098</v>
      </c>
      <c r="L17" s="79" t="n">
        <v>0.27</v>
      </c>
      <c r="M17" s="80" t="n">
        <v>0.0025</v>
      </c>
      <c r="N17" s="80" t="n">
        <v>0.00097</v>
      </c>
      <c r="O17" s="81" t="n">
        <v>26</v>
      </c>
      <c r="P17" s="81" t="n">
        <v>894</v>
      </c>
      <c r="R17" s="81" t="n">
        <v>33318</v>
      </c>
      <c r="S17" s="76" t="n">
        <v>0.452</v>
      </c>
      <c r="T17" s="77" t="n">
        <v>0.124</v>
      </c>
      <c r="U17" s="78" t="n">
        <v>0</v>
      </c>
      <c r="V17" s="81" t="n">
        <v>25</v>
      </c>
    </row>
    <row r="18" customFormat="false" ht="15" hidden="false" customHeight="false" outlineLevel="0" collapsed="false">
      <c r="A18" s="8" t="s">
        <v>1634</v>
      </c>
      <c r="B18" s="75" t="n">
        <v>11853</v>
      </c>
      <c r="C18" s="76" t="n">
        <v>2.473</v>
      </c>
      <c r="D18" s="77" t="n">
        <v>0.681</v>
      </c>
      <c r="E18" s="78" t="n">
        <v>0</v>
      </c>
      <c r="F18" s="79" t="n">
        <v>0.958</v>
      </c>
      <c r="G18" s="79" t="n">
        <v>0</v>
      </c>
      <c r="H18" s="79" t="n">
        <v>0.495</v>
      </c>
      <c r="I18" s="79" t="n">
        <v>0.794</v>
      </c>
      <c r="J18" s="79" t="n">
        <v>0.177</v>
      </c>
      <c r="K18" s="79" t="n">
        <v>0.177</v>
      </c>
      <c r="L18" s="79" t="n">
        <v>0.27</v>
      </c>
      <c r="M18" s="80" t="n">
        <v>0.00625</v>
      </c>
      <c r="N18" s="80" t="n">
        <v>0.00553</v>
      </c>
      <c r="O18" s="81" t="n">
        <v>139</v>
      </c>
      <c r="P18" s="81" t="n">
        <v>4785</v>
      </c>
      <c r="R18" s="81" t="n">
        <v>11853</v>
      </c>
      <c r="S18" s="76" t="n">
        <v>2.455</v>
      </c>
      <c r="T18" s="77" t="n">
        <v>0.676</v>
      </c>
      <c r="U18" s="78" t="n">
        <v>0</v>
      </c>
      <c r="V18" s="81" t="n">
        <v>138</v>
      </c>
    </row>
    <row r="19" customFormat="false" ht="15" hidden="false" customHeight="false" outlineLevel="0" collapsed="false">
      <c r="A19" s="8" t="s">
        <v>1635</v>
      </c>
      <c r="B19" s="75" t="n">
        <v>24148</v>
      </c>
      <c r="C19" s="76" t="n">
        <v>7.815</v>
      </c>
      <c r="D19" s="77" t="n">
        <v>2.359</v>
      </c>
      <c r="E19" s="78" t="n">
        <v>0</v>
      </c>
      <c r="F19" s="79" t="n">
        <v>3.096</v>
      </c>
      <c r="G19" s="79" t="n">
        <v>0</v>
      </c>
      <c r="H19" s="79" t="n">
        <v>1.519</v>
      </c>
      <c r="I19" s="79" t="n">
        <v>0.311</v>
      </c>
      <c r="J19" s="79" t="n">
        <v>0.299</v>
      </c>
      <c r="K19" s="79" t="n">
        <v>0.849</v>
      </c>
      <c r="L19" s="79" t="n">
        <v>0.043</v>
      </c>
      <c r="M19" s="80" t="n">
        <v>0.0157</v>
      </c>
      <c r="N19" s="80" t="n">
        <v>0.01123</v>
      </c>
      <c r="O19" s="81" t="n">
        <v>418</v>
      </c>
      <c r="P19" s="81" t="n">
        <v>15039</v>
      </c>
      <c r="R19" s="81" t="n">
        <v>39187</v>
      </c>
      <c r="S19" s="76" t="n">
        <v>7.791</v>
      </c>
      <c r="T19" s="77" t="n">
        <v>2.367</v>
      </c>
      <c r="U19" s="78" t="n">
        <v>0</v>
      </c>
      <c r="V19" s="81" t="n">
        <v>412</v>
      </c>
    </row>
    <row r="20" customFormat="false" ht="15" hidden="false" customHeight="false" outlineLevel="0" collapsed="false">
      <c r="A20" s="8" t="s">
        <v>1636</v>
      </c>
      <c r="B20" s="75" t="n">
        <v>16691</v>
      </c>
      <c r="C20" s="76" t="n">
        <v>2.259</v>
      </c>
      <c r="D20" s="77" t="n">
        <v>0.179</v>
      </c>
      <c r="E20" s="78" t="n">
        <v>0</v>
      </c>
      <c r="F20" s="79" t="n">
        <v>3.096</v>
      </c>
      <c r="G20" s="79" t="n">
        <v>0</v>
      </c>
      <c r="H20" s="79" t="n">
        <v>2.107</v>
      </c>
      <c r="I20" s="79" t="n">
        <v>1.264</v>
      </c>
      <c r="J20" s="79" t="n">
        <v>0.208</v>
      </c>
      <c r="K20" s="79" t="n">
        <v>0.886</v>
      </c>
      <c r="L20" s="79" t="n">
        <v>0.044</v>
      </c>
      <c r="M20" s="80" t="n">
        <v>0.01832</v>
      </c>
      <c r="N20" s="80" t="n">
        <v>0.01089</v>
      </c>
      <c r="O20" s="81" t="n">
        <v>7</v>
      </c>
      <c r="P20" s="81" t="n">
        <v>37</v>
      </c>
      <c r="R20" s="81" t="n">
        <v>47221</v>
      </c>
      <c r="S20" s="76" t="n">
        <v>2.261</v>
      </c>
      <c r="T20" s="77" t="n">
        <v>0.581</v>
      </c>
      <c r="U20" s="78" t="n">
        <v>0</v>
      </c>
      <c r="V20" s="81" t="n">
        <v>7</v>
      </c>
    </row>
    <row r="21" customFormat="false" ht="15" hidden="false" customHeight="false" outlineLevel="0" collapsed="false">
      <c r="A21" s="8" t="s">
        <v>1637</v>
      </c>
      <c r="B21" s="75" t="n">
        <v>9554</v>
      </c>
      <c r="C21" s="76" t="n">
        <v>13.581</v>
      </c>
      <c r="D21" s="77" t="n">
        <v>3.613</v>
      </c>
      <c r="E21" s="78" t="n">
        <v>0</v>
      </c>
      <c r="F21" s="79" t="n">
        <v>0.133</v>
      </c>
      <c r="G21" s="79" t="n">
        <v>0</v>
      </c>
      <c r="H21" s="79" t="n">
        <v>2.148</v>
      </c>
      <c r="I21" s="79" t="n">
        <v>0.229</v>
      </c>
      <c r="J21" s="79" t="n">
        <v>0.201</v>
      </c>
      <c r="K21" s="79" t="n">
        <v>0.853</v>
      </c>
      <c r="L21" s="79" t="n">
        <v>0.043</v>
      </c>
      <c r="M21" s="80" t="n">
        <v>0.02735</v>
      </c>
      <c r="N21" s="80" t="n">
        <v>0.05061</v>
      </c>
      <c r="O21" s="81" t="n">
        <v>943</v>
      </c>
      <c r="P21" s="81" t="n">
        <v>34064</v>
      </c>
      <c r="R21" s="81" t="n">
        <v>12556</v>
      </c>
      <c r="S21" s="76" t="n">
        <v>13.515</v>
      </c>
      <c r="T21" s="77" t="n">
        <v>3.637</v>
      </c>
      <c r="U21" s="78" t="n">
        <v>0</v>
      </c>
      <c r="V21" s="81" t="n">
        <v>963</v>
      </c>
    </row>
    <row r="22" customFormat="false" ht="15" hidden="false" customHeight="false" outlineLevel="0" collapsed="false">
      <c r="A22" s="8" t="s">
        <v>1638</v>
      </c>
      <c r="B22" s="75" t="n">
        <v>10311</v>
      </c>
      <c r="C22" s="76" t="n">
        <v>8.458</v>
      </c>
      <c r="D22" s="77" t="n">
        <v>2.09</v>
      </c>
      <c r="E22" s="78" t="n">
        <v>0</v>
      </c>
      <c r="F22" s="79" t="n">
        <v>0.212</v>
      </c>
      <c r="G22" s="79" t="n">
        <v>0</v>
      </c>
      <c r="H22" s="79" t="n">
        <v>2.343</v>
      </c>
      <c r="I22" s="79" t="n">
        <v>0.193</v>
      </c>
      <c r="J22" s="79" t="n">
        <v>0.19</v>
      </c>
      <c r="K22" s="79" t="n">
        <v>0.844</v>
      </c>
      <c r="L22" s="79" t="n">
        <v>0.046</v>
      </c>
      <c r="M22" s="80" t="n">
        <v>0.0288</v>
      </c>
      <c r="N22" s="80" t="n">
        <v>0.01939</v>
      </c>
      <c r="O22" s="81" t="n">
        <v>234</v>
      </c>
      <c r="P22" s="81" t="n">
        <v>10412</v>
      </c>
      <c r="R22" s="81" t="n">
        <v>22190</v>
      </c>
      <c r="S22" s="76" t="n">
        <v>8.529</v>
      </c>
      <c r="T22" s="77" t="n">
        <v>2.133</v>
      </c>
      <c r="U22" s="78" t="n">
        <v>0</v>
      </c>
      <c r="V22" s="81" t="n">
        <v>227</v>
      </c>
    </row>
    <row r="23" customFormat="false" ht="15" hidden="false" customHeight="false" outlineLevel="0" collapsed="false">
      <c r="A23" s="8" t="s">
        <v>1639</v>
      </c>
      <c r="B23" s="75" t="n">
        <v>2997</v>
      </c>
      <c r="C23" s="76" t="n">
        <v>27.213</v>
      </c>
      <c r="D23" s="77" t="n">
        <v>1.089</v>
      </c>
      <c r="E23" s="78" t="n">
        <v>0</v>
      </c>
      <c r="F23" s="79" t="n">
        <v>-0.377</v>
      </c>
      <c r="G23" s="79" t="n">
        <v>0</v>
      </c>
      <c r="H23" s="79" t="n">
        <v>4.272</v>
      </c>
      <c r="I23" s="79" t="n">
        <v>0.66</v>
      </c>
      <c r="J23" s="79" t="n">
        <v>0.482</v>
      </c>
      <c r="K23" s="79" t="n">
        <v>0.861</v>
      </c>
      <c r="L23" s="79" t="n">
        <v>0.046</v>
      </c>
      <c r="M23" s="80" t="n">
        <v>0.04108</v>
      </c>
      <c r="N23" s="80" t="n">
        <v>0.04024</v>
      </c>
      <c r="O23" s="81" t="n">
        <v>2322</v>
      </c>
      <c r="P23" s="81" t="n">
        <v>192719</v>
      </c>
      <c r="R23" s="81" t="n">
        <v>3264</v>
      </c>
      <c r="S23" s="76" t="n">
        <v>27.382</v>
      </c>
      <c r="T23" s="77" t="n">
        <v>1.095</v>
      </c>
      <c r="U23" s="78" t="n">
        <v>0</v>
      </c>
      <c r="V23" s="81" t="n">
        <v>2304</v>
      </c>
    </row>
    <row r="24" customFormat="false" ht="15" hidden="false" customHeight="false" outlineLevel="0" collapsed="false">
      <c r="A24" s="8" t="s">
        <v>1640</v>
      </c>
      <c r="B24" s="75" t="n">
        <v>148957</v>
      </c>
      <c r="C24" s="76" t="n">
        <v>0.328</v>
      </c>
      <c r="D24" s="77" t="n">
        <v>0.182</v>
      </c>
      <c r="E24" s="78" t="n">
        <v>0</v>
      </c>
      <c r="F24" s="79" t="n">
        <v>0.372</v>
      </c>
      <c r="G24" s="79" t="n">
        <v>0</v>
      </c>
      <c r="H24" s="79" t="n">
        <v>0.704</v>
      </c>
      <c r="I24" s="79" t="n">
        <v>0.012</v>
      </c>
      <c r="J24" s="79" t="n">
        <v>0.177</v>
      </c>
      <c r="K24" s="79" t="n">
        <v>0.145</v>
      </c>
      <c r="L24" s="79" t="n">
        <v>0.017</v>
      </c>
      <c r="M24" s="80" t="n">
        <v>0.01143</v>
      </c>
      <c r="N24" s="80" t="n">
        <v>0.00481</v>
      </c>
      <c r="O24" s="81" t="n">
        <v>235</v>
      </c>
      <c r="P24" s="81" t="n">
        <v>4013</v>
      </c>
      <c r="R24" s="81" t="n">
        <v>149033</v>
      </c>
      <c r="S24" s="76" t="n">
        <v>0.329</v>
      </c>
      <c r="T24" s="77" t="n">
        <v>0.18</v>
      </c>
      <c r="U24" s="78" t="n">
        <v>0</v>
      </c>
      <c r="V24" s="81" t="n">
        <v>235</v>
      </c>
    </row>
    <row r="25" customFormat="false" ht="15" hidden="false" customHeight="false" outlineLevel="0" collapsed="false">
      <c r="A25" s="8" t="s">
        <v>1641</v>
      </c>
      <c r="B25" s="75" t="n">
        <v>77927</v>
      </c>
      <c r="C25" s="76" t="n">
        <v>0.219</v>
      </c>
      <c r="D25" s="77" t="n">
        <v>0.066</v>
      </c>
      <c r="E25" s="78" t="n">
        <v>0</v>
      </c>
      <c r="F25" s="79" t="n">
        <v>0.005</v>
      </c>
      <c r="G25" s="79" t="n">
        <v>0</v>
      </c>
      <c r="H25" s="79" t="n">
        <v>0.211</v>
      </c>
      <c r="I25" s="79" t="n">
        <v>0</v>
      </c>
      <c r="J25" s="79" t="n">
        <v>0.095</v>
      </c>
      <c r="K25" s="79" t="n">
        <v>0.045</v>
      </c>
      <c r="L25" s="79" t="n">
        <v>0.039</v>
      </c>
      <c r="M25" s="80" t="n">
        <v>0.00304</v>
      </c>
      <c r="N25" s="80" t="n">
        <v>0.0023</v>
      </c>
      <c r="O25" s="81" t="n">
        <v>11</v>
      </c>
      <c r="P25" s="81" t="n">
        <v>746</v>
      </c>
      <c r="R25" s="81" t="n">
        <v>77942</v>
      </c>
      <c r="S25" s="76" t="n">
        <v>0.221</v>
      </c>
      <c r="T25" s="77" t="n">
        <v>0.066</v>
      </c>
      <c r="U25" s="78" t="n">
        <v>0</v>
      </c>
      <c r="V25" s="81" t="n">
        <v>11</v>
      </c>
    </row>
    <row r="26" customFormat="false" ht="15" hidden="false" customHeight="false" outlineLevel="0" collapsed="false">
      <c r="A26" s="8" t="s">
        <v>1642</v>
      </c>
      <c r="B26" s="75" t="n">
        <v>35154</v>
      </c>
      <c r="C26" s="76" t="n">
        <v>0.231</v>
      </c>
      <c r="D26" s="77" t="n">
        <v>0.032</v>
      </c>
      <c r="E26" s="78" t="n">
        <v>0</v>
      </c>
      <c r="F26" s="79" t="n">
        <v>0.013</v>
      </c>
      <c r="G26" s="79" t="n">
        <v>0</v>
      </c>
      <c r="H26" s="79" t="n">
        <v>0.154</v>
      </c>
      <c r="I26" s="79" t="n">
        <v>0</v>
      </c>
      <c r="J26" s="79" t="n">
        <v>0.114</v>
      </c>
      <c r="K26" s="79" t="n">
        <v>0.045</v>
      </c>
      <c r="L26" s="79" t="n">
        <v>0.039</v>
      </c>
      <c r="M26" s="80" t="n">
        <v>0.00253</v>
      </c>
      <c r="N26" s="80" t="n">
        <v>0.00132</v>
      </c>
      <c r="O26" s="81" t="n">
        <v>23</v>
      </c>
      <c r="P26" s="81" t="n">
        <v>776</v>
      </c>
      <c r="R26" s="81" t="n">
        <v>35170</v>
      </c>
      <c r="S26" s="76" t="n">
        <v>0.231</v>
      </c>
      <c r="T26" s="77" t="n">
        <v>0.032</v>
      </c>
      <c r="U26" s="78" t="n">
        <v>0</v>
      </c>
      <c r="V26" s="81" t="n">
        <v>23</v>
      </c>
    </row>
    <row r="27" customFormat="false" ht="15" hidden="false" customHeight="false" outlineLevel="0" collapsed="false">
      <c r="A27" s="8" t="s">
        <v>1643</v>
      </c>
      <c r="B27" s="75" t="n">
        <v>77045</v>
      </c>
      <c r="C27" s="76" t="n">
        <v>0.303</v>
      </c>
      <c r="D27" s="77" t="n">
        <v>0.149</v>
      </c>
      <c r="E27" s="78" t="n">
        <v>0</v>
      </c>
      <c r="F27" s="79" t="n">
        <v>0.002</v>
      </c>
      <c r="G27" s="79" t="n">
        <v>0</v>
      </c>
      <c r="H27" s="79" t="n">
        <v>0.278</v>
      </c>
      <c r="I27" s="79" t="n">
        <v>0</v>
      </c>
      <c r="J27" s="79" t="n">
        <v>0.095</v>
      </c>
      <c r="K27" s="79" t="n">
        <v>0.045</v>
      </c>
      <c r="L27" s="79" t="n">
        <v>0.017</v>
      </c>
      <c r="M27" s="80" t="n">
        <v>0.00686</v>
      </c>
      <c r="N27" s="80" t="n">
        <v>0.00414</v>
      </c>
      <c r="O27" s="81" t="n">
        <v>97</v>
      </c>
      <c r="P27" s="81" t="n">
        <v>6878</v>
      </c>
      <c r="R27" s="81" t="n">
        <v>77079</v>
      </c>
      <c r="S27" s="76" t="n">
        <v>0.305</v>
      </c>
      <c r="T27" s="77" t="n">
        <v>0.15</v>
      </c>
      <c r="U27" s="78" t="n">
        <v>0</v>
      </c>
      <c r="V27" s="81" t="n">
        <v>98</v>
      </c>
    </row>
    <row r="28" customFormat="false" ht="15" hidden="false" customHeight="false" outlineLevel="0" collapsed="false">
      <c r="A28" s="8" t="s">
        <v>1644</v>
      </c>
      <c r="B28" s="75" t="n">
        <v>654375</v>
      </c>
      <c r="C28" s="76" t="n">
        <v>0.223</v>
      </c>
      <c r="D28" s="77" t="n">
        <v>0.087</v>
      </c>
      <c r="E28" s="78" t="n">
        <v>0</v>
      </c>
      <c r="F28" s="79" t="n">
        <v>0.001</v>
      </c>
      <c r="G28" s="79" t="n">
        <v>0</v>
      </c>
      <c r="H28" s="79" t="n">
        <v>0.174</v>
      </c>
      <c r="I28" s="79" t="n">
        <v>0.06</v>
      </c>
      <c r="J28" s="79" t="n">
        <v>0.164</v>
      </c>
      <c r="K28" s="79" t="n">
        <v>0.041</v>
      </c>
      <c r="L28" s="79" t="n">
        <v>0.015</v>
      </c>
      <c r="M28" s="80" t="n">
        <v>0.00531</v>
      </c>
      <c r="N28" s="80" t="n">
        <v>0.00186</v>
      </c>
      <c r="O28" s="81" t="n">
        <v>83</v>
      </c>
      <c r="P28" s="81" t="n">
        <v>3958</v>
      </c>
      <c r="R28" s="81" t="n">
        <v>654664</v>
      </c>
      <c r="S28" s="76" t="n">
        <v>0.223</v>
      </c>
      <c r="T28" s="77" t="n">
        <v>0.087</v>
      </c>
      <c r="U28" s="78" t="n">
        <v>0</v>
      </c>
      <c r="V28" s="81" t="n">
        <v>82</v>
      </c>
    </row>
    <row r="29" customFormat="false" ht="15" hidden="false" customHeight="false" outlineLevel="0" collapsed="false">
      <c r="A29" s="8" t="s">
        <v>1645</v>
      </c>
      <c r="B29" s="75" t="n">
        <v>127923</v>
      </c>
      <c r="C29" s="76" t="n">
        <v>0.637</v>
      </c>
      <c r="D29" s="77" t="n">
        <v>0.038</v>
      </c>
      <c r="E29" s="78" t="n">
        <v>0</v>
      </c>
      <c r="F29" s="79" t="n">
        <v>-0.146</v>
      </c>
      <c r="G29" s="79" t="n">
        <v>0</v>
      </c>
      <c r="H29" s="79" t="n">
        <v>0.307</v>
      </c>
      <c r="I29" s="79" t="n">
        <v>0</v>
      </c>
      <c r="J29" s="79" t="n">
        <v>0.094</v>
      </c>
      <c r="K29" s="79" t="n">
        <v>0.045</v>
      </c>
      <c r="L29" s="79" t="n">
        <v>0.017</v>
      </c>
      <c r="M29" s="80" t="n">
        <v>0.00306</v>
      </c>
      <c r="N29" s="80" t="n">
        <v>0.00157</v>
      </c>
      <c r="O29" s="81" t="n">
        <v>65</v>
      </c>
      <c r="P29" s="81" t="n">
        <v>3678</v>
      </c>
      <c r="R29" s="81" t="n">
        <v>128230</v>
      </c>
      <c r="S29" s="76" t="n">
        <v>0.639</v>
      </c>
      <c r="T29" s="77" t="n">
        <v>0.038</v>
      </c>
      <c r="U29" s="78" t="n">
        <v>0</v>
      </c>
      <c r="V29" s="81" t="n">
        <v>65</v>
      </c>
    </row>
    <row r="30" customFormat="false" ht="15" hidden="false" customHeight="false" outlineLevel="0" collapsed="false">
      <c r="A30" s="8" t="s">
        <v>1646</v>
      </c>
      <c r="B30" s="75" t="n">
        <v>128971</v>
      </c>
      <c r="C30" s="76" t="n">
        <v>1.23</v>
      </c>
      <c r="D30" s="77" t="n">
        <v>0</v>
      </c>
      <c r="E30" s="78" t="n">
        <v>0</v>
      </c>
      <c r="F30" s="79" t="n">
        <v>-0.025</v>
      </c>
      <c r="G30" s="79" t="n">
        <v>0</v>
      </c>
      <c r="H30" s="79" t="n">
        <v>0.266</v>
      </c>
      <c r="I30" s="79" t="n">
        <v>0.059</v>
      </c>
      <c r="J30" s="79" t="n">
        <v>0.292</v>
      </c>
      <c r="K30" s="79" t="n">
        <v>0.065</v>
      </c>
      <c r="L30" s="79" t="n">
        <v>0.021</v>
      </c>
      <c r="M30" s="80" t="n">
        <v>0.00469</v>
      </c>
      <c r="N30" s="80" t="n">
        <v>0.00225</v>
      </c>
      <c r="O30" s="81" t="n">
        <v>86</v>
      </c>
      <c r="P30" s="81" t="n">
        <v>491</v>
      </c>
      <c r="R30" s="81" t="n">
        <v>129311</v>
      </c>
      <c r="S30" s="76" t="n">
        <v>1.246</v>
      </c>
      <c r="T30" s="77" t="n">
        <v>0</v>
      </c>
      <c r="U30" s="78" t="n">
        <v>0</v>
      </c>
      <c r="V30" s="81" t="n">
        <v>87</v>
      </c>
    </row>
    <row r="31" customFormat="false" ht="15" hidden="false" customHeight="false" outlineLevel="0" collapsed="false">
      <c r="A31" s="8" t="s">
        <v>1647</v>
      </c>
      <c r="B31" s="75" t="n">
        <v>75781</v>
      </c>
      <c r="C31" s="76" t="n">
        <v>0.465</v>
      </c>
      <c r="D31" s="77" t="n">
        <v>0.028</v>
      </c>
      <c r="E31" s="78" t="n">
        <v>0</v>
      </c>
      <c r="F31" s="79" t="n">
        <v>-0.029</v>
      </c>
      <c r="G31" s="79" t="n">
        <v>0</v>
      </c>
      <c r="H31" s="79" t="n">
        <v>0.225</v>
      </c>
      <c r="I31" s="79" t="n">
        <v>0.004</v>
      </c>
      <c r="J31" s="79" t="n">
        <v>0.096</v>
      </c>
      <c r="K31" s="79" t="n">
        <v>0.044</v>
      </c>
      <c r="L31" s="79" t="n">
        <v>0.017</v>
      </c>
      <c r="M31" s="80" t="n">
        <v>0.00291</v>
      </c>
      <c r="N31" s="80" t="n">
        <v>0.00115</v>
      </c>
      <c r="O31" s="81" t="n">
        <v>140</v>
      </c>
      <c r="P31" s="81" t="n">
        <v>10007</v>
      </c>
      <c r="R31" s="81" t="n">
        <v>75811</v>
      </c>
      <c r="S31" s="76" t="n">
        <v>0.466</v>
      </c>
      <c r="T31" s="77" t="n">
        <v>0.029</v>
      </c>
      <c r="U31" s="78" t="n">
        <v>0</v>
      </c>
      <c r="V31" s="81" t="n">
        <v>138</v>
      </c>
    </row>
    <row r="32" customFormat="false" ht="15" hidden="false" customHeight="false" outlineLevel="0" collapsed="false">
      <c r="A32" s="8" t="s">
        <v>1648</v>
      </c>
      <c r="B32" s="75" t="n">
        <v>67079</v>
      </c>
      <c r="C32" s="76" t="n">
        <v>0.741</v>
      </c>
      <c r="D32" s="77" t="n">
        <v>0.899</v>
      </c>
      <c r="E32" s="78" t="n">
        <v>0</v>
      </c>
      <c r="F32" s="79" t="n">
        <v>0.025</v>
      </c>
      <c r="G32" s="79" t="n">
        <v>0</v>
      </c>
      <c r="H32" s="79" t="n">
        <v>0.722</v>
      </c>
      <c r="I32" s="79" t="n">
        <v>0</v>
      </c>
      <c r="J32" s="79" t="n">
        <v>0.238</v>
      </c>
      <c r="K32" s="79" t="n">
        <v>0.212</v>
      </c>
      <c r="L32" s="79" t="n">
        <v>0.017</v>
      </c>
      <c r="M32" s="80" t="n">
        <v>0.00989</v>
      </c>
      <c r="N32" s="80" t="n">
        <v>0.00531</v>
      </c>
      <c r="O32" s="81" t="n">
        <v>292</v>
      </c>
      <c r="P32" s="81" t="n">
        <v>15180</v>
      </c>
      <c r="R32" s="81" t="n">
        <v>68024</v>
      </c>
      <c r="S32" s="76" t="n">
        <v>0.742</v>
      </c>
      <c r="T32" s="77" t="n">
        <v>0.908</v>
      </c>
      <c r="U32" s="78" t="n">
        <v>0</v>
      </c>
      <c r="V32" s="81" t="n">
        <v>295</v>
      </c>
    </row>
    <row r="33" customFormat="false" ht="15" hidden="false" customHeight="false" outlineLevel="0" collapsed="false">
      <c r="A33" s="8" t="s">
        <v>1649</v>
      </c>
      <c r="B33" s="75" t="n">
        <v>26013</v>
      </c>
      <c r="C33" s="76" t="n">
        <v>1.553</v>
      </c>
      <c r="D33" s="77" t="n">
        <v>0</v>
      </c>
      <c r="E33" s="78" t="n">
        <v>0</v>
      </c>
      <c r="F33" s="79" t="n">
        <v>-0.061</v>
      </c>
      <c r="G33" s="79" t="n">
        <v>0</v>
      </c>
      <c r="H33" s="79" t="n">
        <v>0.626</v>
      </c>
      <c r="I33" s="79" t="n">
        <v>0.139</v>
      </c>
      <c r="J33" s="79" t="n">
        <v>0.093</v>
      </c>
      <c r="K33" s="79" t="n">
        <v>0.749</v>
      </c>
      <c r="L33" s="79" t="n">
        <v>0.039</v>
      </c>
      <c r="M33" s="80" t="n">
        <v>0.01128</v>
      </c>
      <c r="N33" s="80" t="n">
        <v>0.00402</v>
      </c>
      <c r="O33" s="81" t="n">
        <v>68</v>
      </c>
      <c r="P33" s="81" t="n">
        <v>1003</v>
      </c>
      <c r="R33" s="81" t="n">
        <v>27499</v>
      </c>
      <c r="S33" s="76" t="n">
        <v>1.553</v>
      </c>
      <c r="T33" s="77" t="n">
        <v>0</v>
      </c>
      <c r="U33" s="78" t="n">
        <v>0</v>
      </c>
      <c r="V33" s="81" t="n">
        <v>68</v>
      </c>
    </row>
    <row r="34" customFormat="false" ht="15" hidden="false" customHeight="false" outlineLevel="0" collapsed="false">
      <c r="A34" s="8" t="s">
        <v>1650</v>
      </c>
      <c r="B34" s="75" t="n">
        <v>210650</v>
      </c>
      <c r="C34" s="76" t="n">
        <v>0.465</v>
      </c>
      <c r="D34" s="77" t="n">
        <v>0.145</v>
      </c>
      <c r="E34" s="78" t="n">
        <v>0</v>
      </c>
      <c r="F34" s="79" t="n">
        <v>0.126</v>
      </c>
      <c r="G34" s="79" t="n">
        <v>0</v>
      </c>
      <c r="H34" s="79" t="n">
        <v>0.369</v>
      </c>
      <c r="I34" s="79" t="n">
        <v>0.015</v>
      </c>
      <c r="J34" s="79" t="n">
        <v>0.182</v>
      </c>
      <c r="K34" s="79" t="n">
        <v>0.042</v>
      </c>
      <c r="L34" s="79" t="n">
        <v>0.016</v>
      </c>
      <c r="M34" s="80" t="n">
        <v>0.00438</v>
      </c>
      <c r="N34" s="80" t="n">
        <v>0.00179</v>
      </c>
      <c r="O34" s="81" t="n">
        <v>119</v>
      </c>
      <c r="P34" s="81" t="n">
        <v>7771</v>
      </c>
      <c r="R34" s="81" t="n">
        <v>211197</v>
      </c>
      <c r="S34" s="76" t="n">
        <v>0.46</v>
      </c>
      <c r="T34" s="77" t="n">
        <v>0.144</v>
      </c>
      <c r="U34" s="78" t="n">
        <v>0</v>
      </c>
      <c r="V34" s="81" t="n">
        <v>120</v>
      </c>
    </row>
    <row r="35" customFormat="false" ht="15" hidden="false" customHeight="false" outlineLevel="0" collapsed="false">
      <c r="A35" s="8" t="s">
        <v>1651</v>
      </c>
      <c r="B35" s="75" t="n">
        <v>7778</v>
      </c>
      <c r="C35" s="76" t="n">
        <v>10.683</v>
      </c>
      <c r="D35" s="77" t="n">
        <v>1.038</v>
      </c>
      <c r="E35" s="78" t="n">
        <v>0</v>
      </c>
      <c r="F35" s="79" t="n">
        <v>3.688</v>
      </c>
      <c r="G35" s="79" t="n">
        <v>0</v>
      </c>
      <c r="H35" s="79" t="n">
        <v>10.386</v>
      </c>
      <c r="I35" s="79" t="n">
        <v>0.592</v>
      </c>
      <c r="J35" s="79" t="n">
        <v>0.13</v>
      </c>
      <c r="K35" s="79" t="n">
        <v>1.63</v>
      </c>
      <c r="L35" s="79" t="n">
        <v>0.051</v>
      </c>
      <c r="M35" s="80" t="n">
        <v>0.04608</v>
      </c>
      <c r="N35" s="80" t="n">
        <v>0.0602</v>
      </c>
      <c r="O35" s="81" t="n">
        <v>14</v>
      </c>
      <c r="P35" s="81" t="n">
        <v>182</v>
      </c>
      <c r="R35" s="81" t="n">
        <v>7812</v>
      </c>
      <c r="S35" s="76" t="n">
        <v>10.372</v>
      </c>
      <c r="T35" s="77" t="n">
        <v>8.47</v>
      </c>
      <c r="U35" s="78" t="n">
        <v>0</v>
      </c>
      <c r="V35" s="81" t="n">
        <v>14</v>
      </c>
    </row>
    <row r="36" customFormat="false" ht="15" hidden="false" customHeight="false" outlineLevel="0" collapsed="false">
      <c r="A36" s="8" t="s">
        <v>1652</v>
      </c>
      <c r="B36" s="75" t="n">
        <v>4416</v>
      </c>
      <c r="C36" s="76" t="n">
        <v>18.634</v>
      </c>
      <c r="D36" s="77" t="n">
        <v>5.059</v>
      </c>
      <c r="E36" s="78" t="n">
        <v>0</v>
      </c>
      <c r="F36" s="79" t="n">
        <v>14.308</v>
      </c>
      <c r="G36" s="79" t="n">
        <v>0</v>
      </c>
      <c r="H36" s="79" t="n">
        <v>3.706</v>
      </c>
      <c r="I36" s="79" t="n">
        <v>0.185</v>
      </c>
      <c r="J36" s="79" t="n">
        <v>0.061</v>
      </c>
      <c r="K36" s="79" t="n">
        <v>0.4</v>
      </c>
      <c r="L36" s="79" t="n">
        <v>0.021</v>
      </c>
      <c r="M36" s="80" t="n">
        <v>0.01659</v>
      </c>
      <c r="N36" s="80" t="n">
        <v>0.03061</v>
      </c>
      <c r="O36" s="81" t="n">
        <v>209</v>
      </c>
      <c r="P36" s="81" t="n">
        <v>1097</v>
      </c>
      <c r="R36" s="81" t="n">
        <v>4738</v>
      </c>
      <c r="S36" s="76" t="n">
        <v>18.556</v>
      </c>
      <c r="T36" s="77" t="n">
        <v>5.03</v>
      </c>
      <c r="U36" s="78" t="n">
        <v>0</v>
      </c>
      <c r="V36" s="81" t="n">
        <v>190</v>
      </c>
    </row>
    <row r="37" customFormat="false" ht="15" hidden="false" customHeight="false" outlineLevel="0" collapsed="false">
      <c r="A37" s="8" t="s">
        <v>1653</v>
      </c>
      <c r="B37" s="75" t="n">
        <v>40571</v>
      </c>
      <c r="C37" s="76" t="n">
        <v>20.507</v>
      </c>
      <c r="D37" s="77" t="n">
        <v>5.067</v>
      </c>
      <c r="E37" s="78" t="n">
        <v>168.092</v>
      </c>
      <c r="F37" s="79" t="n">
        <v>16.278</v>
      </c>
      <c r="G37" s="79" t="n">
        <v>1.878</v>
      </c>
      <c r="H37" s="79" t="n">
        <v>39.388</v>
      </c>
      <c r="I37" s="79" t="n">
        <v>1.269</v>
      </c>
      <c r="J37" s="79" t="n">
        <v>0.346</v>
      </c>
      <c r="K37" s="79" t="n">
        <v>0.247</v>
      </c>
      <c r="L37" s="79" t="n">
        <v>0.164</v>
      </c>
      <c r="M37" s="80" t="n">
        <v>0.18929</v>
      </c>
      <c r="N37" s="80" t="n">
        <v>0.17747</v>
      </c>
      <c r="O37" s="81" t="n">
        <v>871</v>
      </c>
      <c r="P37" s="81" t="n">
        <v>21163</v>
      </c>
      <c r="R37" s="81" t="n">
        <v>40654</v>
      </c>
      <c r="S37" s="76" t="n">
        <v>21.677</v>
      </c>
      <c r="T37" s="77" t="n">
        <v>5.256</v>
      </c>
      <c r="U37" s="78" t="n">
        <v>173.919</v>
      </c>
      <c r="V37" s="81" t="n">
        <v>942</v>
      </c>
    </row>
    <row r="38" customFormat="false" ht="15" hidden="false" customHeight="false" outlineLevel="0" collapsed="false">
      <c r="A38" s="8" t="s">
        <v>1654</v>
      </c>
      <c r="B38" s="75" t="n">
        <v>31425</v>
      </c>
      <c r="C38" s="76" t="n">
        <v>10.096</v>
      </c>
      <c r="D38" s="77" t="n">
        <v>1.965</v>
      </c>
      <c r="E38" s="78" t="n">
        <v>13.667</v>
      </c>
      <c r="F38" s="79" t="n">
        <v>0.906</v>
      </c>
      <c r="G38" s="79" t="n">
        <v>2.508</v>
      </c>
      <c r="H38" s="79" t="n">
        <v>15.689</v>
      </c>
      <c r="I38" s="79" t="n">
        <v>1.108</v>
      </c>
      <c r="J38" s="79" t="n">
        <v>0.424</v>
      </c>
      <c r="K38" s="79" t="n">
        <v>0.268</v>
      </c>
      <c r="L38" s="79" t="n">
        <v>0.182</v>
      </c>
      <c r="M38" s="80" t="n">
        <v>0.20946</v>
      </c>
      <c r="N38" s="80" t="n">
        <v>0.20883</v>
      </c>
      <c r="O38" s="81" t="n">
        <v>1650</v>
      </c>
      <c r="P38" s="81" t="n">
        <v>75339</v>
      </c>
      <c r="R38" s="81" t="n">
        <v>31489</v>
      </c>
      <c r="S38" s="76" t="n">
        <v>10.744</v>
      </c>
      <c r="T38" s="77" t="n">
        <v>2.076</v>
      </c>
      <c r="U38" s="78" t="n">
        <v>14.938</v>
      </c>
      <c r="V38" s="81" t="n">
        <v>1779</v>
      </c>
    </row>
    <row r="39" customFormat="false" ht="15" hidden="false" customHeight="false" outlineLevel="0" collapsed="false">
      <c r="A39" s="8" t="s">
        <v>1655</v>
      </c>
      <c r="B39" s="75" t="n">
        <v>14195</v>
      </c>
      <c r="C39" s="76" t="n">
        <v>9.292</v>
      </c>
      <c r="D39" s="77" t="n">
        <v>1.666</v>
      </c>
      <c r="E39" s="78" t="n">
        <v>212.348</v>
      </c>
      <c r="F39" s="79" t="n">
        <v>0.468</v>
      </c>
      <c r="G39" s="79" t="n">
        <v>2.37</v>
      </c>
      <c r="H39" s="79" t="n">
        <v>19.508</v>
      </c>
      <c r="I39" s="79" t="n">
        <v>1.111</v>
      </c>
      <c r="J39" s="79" t="n">
        <v>0.49</v>
      </c>
      <c r="K39" s="79" t="n">
        <v>0.251</v>
      </c>
      <c r="L39" s="79" t="n">
        <v>0.217</v>
      </c>
      <c r="M39" s="80" t="n">
        <v>0.08726</v>
      </c>
      <c r="N39" s="80" t="n">
        <v>0.05965</v>
      </c>
      <c r="O39" s="81" t="n">
        <v>1082</v>
      </c>
      <c r="P39" s="81" t="n">
        <v>85193</v>
      </c>
      <c r="R39" s="81" t="n">
        <v>14329</v>
      </c>
      <c r="S39" s="76" t="n">
        <v>16.483</v>
      </c>
      <c r="T39" s="77" t="n">
        <v>2.902</v>
      </c>
      <c r="U39" s="78" t="n">
        <v>347.984</v>
      </c>
      <c r="V39" s="81" t="n">
        <v>1575</v>
      </c>
    </row>
    <row r="40" customFormat="false" ht="15" hidden="false" customHeight="false" outlineLevel="0" collapsed="false">
      <c r="A40" s="8" t="s">
        <v>1656</v>
      </c>
      <c r="B40" s="75" t="n">
        <v>112892</v>
      </c>
      <c r="C40" s="76" t="n">
        <v>7.882</v>
      </c>
      <c r="D40" s="77" t="n">
        <v>2.23</v>
      </c>
      <c r="E40" s="78" t="n">
        <v>0.044</v>
      </c>
      <c r="F40" s="79" t="n">
        <v>1.535</v>
      </c>
      <c r="G40" s="79" t="n">
        <v>2.94</v>
      </c>
      <c r="H40" s="79" t="n">
        <v>1.694</v>
      </c>
      <c r="I40" s="79" t="n">
        <v>0.284</v>
      </c>
      <c r="J40" s="79" t="n">
        <v>0.343</v>
      </c>
      <c r="K40" s="79" t="n">
        <v>0.296</v>
      </c>
      <c r="L40" s="79" t="n">
        <v>0.19</v>
      </c>
      <c r="M40" s="80" t="n">
        <v>0.08265</v>
      </c>
      <c r="N40" s="80" t="n">
        <v>0.04416</v>
      </c>
      <c r="O40" s="81" t="n">
        <v>1073</v>
      </c>
      <c r="P40" s="81" t="n">
        <v>40028</v>
      </c>
      <c r="R40" s="81" t="n">
        <v>113229</v>
      </c>
      <c r="S40" s="76" t="n">
        <v>8.232</v>
      </c>
      <c r="T40" s="77" t="n">
        <v>2.331</v>
      </c>
      <c r="U40" s="78" t="n">
        <v>0.033</v>
      </c>
      <c r="V40" s="81" t="n">
        <v>1122</v>
      </c>
    </row>
    <row r="41" customFormat="false" ht="15" hidden="false" customHeight="false" outlineLevel="0" collapsed="false">
      <c r="A41" s="8" t="s">
        <v>1657</v>
      </c>
      <c r="B41" s="75" t="n">
        <v>96439</v>
      </c>
      <c r="C41" s="76" t="n">
        <v>5.66</v>
      </c>
      <c r="D41" s="77" t="n">
        <v>1.83</v>
      </c>
      <c r="E41" s="78" t="n">
        <v>0</v>
      </c>
      <c r="F41" s="79" t="n">
        <v>2.54</v>
      </c>
      <c r="G41" s="79" t="n">
        <v>1.775</v>
      </c>
      <c r="H41" s="79" t="n">
        <v>0.672</v>
      </c>
      <c r="I41" s="79" t="n">
        <v>0.44</v>
      </c>
      <c r="J41" s="79" t="n">
        <v>0.276</v>
      </c>
      <c r="K41" s="79" t="n">
        <v>0.212</v>
      </c>
      <c r="L41" s="79" t="n">
        <v>0.177</v>
      </c>
      <c r="M41" s="80" t="n">
        <v>0.06439</v>
      </c>
      <c r="N41" s="80" t="n">
        <v>0.02957</v>
      </c>
      <c r="O41" s="81" t="n">
        <v>402</v>
      </c>
      <c r="P41" s="81" t="n">
        <v>8828</v>
      </c>
      <c r="R41" s="81" t="n">
        <v>97430</v>
      </c>
      <c r="S41" s="76" t="n">
        <v>5.753</v>
      </c>
      <c r="T41" s="77" t="n">
        <v>1.845</v>
      </c>
      <c r="U41" s="78" t="n">
        <v>0</v>
      </c>
      <c r="V41" s="81" t="n">
        <v>409</v>
      </c>
    </row>
    <row r="42" customFormat="false" ht="15" hidden="false" customHeight="false" outlineLevel="0" collapsed="false">
      <c r="A42" s="8" t="s">
        <v>480</v>
      </c>
      <c r="B42" s="75" t="n">
        <v>470267</v>
      </c>
      <c r="C42" s="76" t="n">
        <v>1.327</v>
      </c>
      <c r="D42" s="77" t="n">
        <v>0.402</v>
      </c>
      <c r="E42" s="78" t="n">
        <v>6.275</v>
      </c>
      <c r="F42" s="79" t="n">
        <v>0.495</v>
      </c>
      <c r="G42" s="79" t="n">
        <v>0.236</v>
      </c>
      <c r="H42" s="79" t="n">
        <v>1.458</v>
      </c>
      <c r="I42" s="79" t="n">
        <v>0.149</v>
      </c>
      <c r="J42" s="79" t="n">
        <v>0.09</v>
      </c>
      <c r="K42" s="79" t="n">
        <v>0.097</v>
      </c>
      <c r="L42" s="79" t="n">
        <v>0.256</v>
      </c>
      <c r="M42" s="80" t="n">
        <v>0.01766</v>
      </c>
      <c r="N42" s="80" t="n">
        <v>0.00934</v>
      </c>
      <c r="O42" s="81" t="n">
        <v>533</v>
      </c>
      <c r="P42" s="81" t="n">
        <v>16951</v>
      </c>
      <c r="R42" s="81" t="n">
        <v>482310</v>
      </c>
      <c r="S42" s="76" t="n">
        <v>1.318</v>
      </c>
      <c r="T42" s="77" t="n">
        <v>0.398</v>
      </c>
      <c r="U42" s="78" t="n">
        <v>6.382</v>
      </c>
      <c r="V42" s="81" t="n">
        <v>520</v>
      </c>
    </row>
    <row r="43" customFormat="false" ht="15" hidden="false" customHeight="false" outlineLevel="0" collapsed="false">
      <c r="A43" s="8" t="s">
        <v>1658</v>
      </c>
      <c r="B43" s="75" t="n">
        <v>21191</v>
      </c>
      <c r="C43" s="76" t="n">
        <v>12.104</v>
      </c>
      <c r="D43" s="77" t="n">
        <v>3.658</v>
      </c>
      <c r="E43" s="78" t="n">
        <v>64.88</v>
      </c>
      <c r="F43" s="79" t="n">
        <v>4.455</v>
      </c>
      <c r="G43" s="79" t="n">
        <v>2.346</v>
      </c>
      <c r="H43" s="79" t="n">
        <v>13.059</v>
      </c>
      <c r="I43" s="79" t="n">
        <v>0.738</v>
      </c>
      <c r="J43" s="79" t="n">
        <v>0.138</v>
      </c>
      <c r="K43" s="79" t="n">
        <v>0.172</v>
      </c>
      <c r="L43" s="79" t="n">
        <v>0.332</v>
      </c>
      <c r="M43" s="80" t="n">
        <v>0.14894</v>
      </c>
      <c r="N43" s="80" t="n">
        <v>0.08875</v>
      </c>
      <c r="O43" s="81" t="n">
        <v>4735</v>
      </c>
      <c r="P43" s="81" t="n">
        <v>155464</v>
      </c>
      <c r="R43" s="81" t="n">
        <v>21733</v>
      </c>
      <c r="S43" s="76" t="n">
        <v>11.933</v>
      </c>
      <c r="T43" s="77" t="n">
        <v>3.584</v>
      </c>
      <c r="U43" s="78" t="n">
        <v>56.197</v>
      </c>
      <c r="V43" s="81" t="n">
        <v>4646</v>
      </c>
    </row>
    <row r="44" customFormat="false" ht="15" hidden="false" customHeight="false" outlineLevel="0" collapsed="false">
      <c r="A44" s="8" t="s">
        <v>511</v>
      </c>
      <c r="B44" s="75" t="n">
        <v>63489</v>
      </c>
      <c r="C44" s="76" t="n">
        <v>4.652</v>
      </c>
      <c r="D44" s="77" t="n">
        <v>1.397</v>
      </c>
      <c r="E44" s="78" t="n">
        <v>0</v>
      </c>
      <c r="F44" s="79" t="n">
        <v>0.709</v>
      </c>
      <c r="G44" s="79" t="n">
        <v>2.2</v>
      </c>
      <c r="H44" s="79" t="n">
        <v>1.317</v>
      </c>
      <c r="I44" s="79" t="n">
        <v>0</v>
      </c>
      <c r="J44" s="79" t="n">
        <v>0.084</v>
      </c>
      <c r="K44" s="79" t="n">
        <v>0.161</v>
      </c>
      <c r="L44" s="79" t="n">
        <v>0.036</v>
      </c>
      <c r="M44" s="80" t="n">
        <v>0.05182</v>
      </c>
      <c r="N44" s="80" t="n">
        <v>0.02102</v>
      </c>
      <c r="O44" s="81" t="n">
        <v>556</v>
      </c>
      <c r="P44" s="81" t="n">
        <v>17315</v>
      </c>
      <c r="R44" s="81" t="n">
        <v>64219</v>
      </c>
      <c r="S44" s="76" t="n">
        <v>4.658</v>
      </c>
      <c r="T44" s="77" t="n">
        <v>1.403</v>
      </c>
      <c r="U44" s="78" t="n">
        <v>0</v>
      </c>
      <c r="V44" s="81" t="n">
        <v>558</v>
      </c>
    </row>
    <row r="45" customFormat="false" ht="15" hidden="false" customHeight="false" outlineLevel="0" collapsed="false">
      <c r="A45" s="8" t="s">
        <v>1659</v>
      </c>
      <c r="B45" s="75" t="n">
        <v>45223</v>
      </c>
      <c r="C45" s="76" t="n">
        <v>2.67</v>
      </c>
      <c r="D45" s="77" t="n">
        <v>0.708</v>
      </c>
      <c r="E45" s="78" t="n">
        <v>0</v>
      </c>
      <c r="F45" s="79" t="n">
        <v>0.534</v>
      </c>
      <c r="G45" s="79" t="n">
        <v>0.819</v>
      </c>
      <c r="H45" s="79" t="n">
        <v>3.598</v>
      </c>
      <c r="I45" s="79" t="n">
        <v>0.02</v>
      </c>
      <c r="J45" s="79" t="n">
        <v>0.111</v>
      </c>
      <c r="K45" s="79" t="n">
        <v>0.061</v>
      </c>
      <c r="L45" s="79" t="n">
        <v>0.04</v>
      </c>
      <c r="M45" s="80" t="n">
        <v>0.025</v>
      </c>
      <c r="N45" s="80" t="n">
        <v>0.09207</v>
      </c>
      <c r="O45" s="81" t="n">
        <v>1315</v>
      </c>
      <c r="P45" s="81" t="n">
        <v>13691</v>
      </c>
      <c r="R45" s="81" t="n">
        <v>46744</v>
      </c>
      <c r="S45" s="76" t="n">
        <v>2.694</v>
      </c>
      <c r="T45" s="77" t="n">
        <v>0.711</v>
      </c>
      <c r="U45" s="78" t="n">
        <v>0</v>
      </c>
      <c r="V45" s="81" t="n">
        <v>1361</v>
      </c>
    </row>
    <row r="46" customFormat="false" ht="15" hidden="false" customHeight="false" outlineLevel="0" collapsed="false">
      <c r="A46" s="8" t="s">
        <v>1660</v>
      </c>
      <c r="B46" s="75" t="n">
        <v>10633</v>
      </c>
      <c r="C46" s="76" t="n">
        <v>1.197</v>
      </c>
      <c r="D46" s="77" t="n">
        <v>0.232</v>
      </c>
      <c r="E46" s="78" t="n">
        <v>0</v>
      </c>
      <c r="F46" s="79" t="n">
        <v>0.206</v>
      </c>
      <c r="G46" s="79" t="n">
        <v>2.51</v>
      </c>
      <c r="H46" s="79" t="n">
        <v>8.379</v>
      </c>
      <c r="I46" s="79" t="n">
        <v>0</v>
      </c>
      <c r="J46" s="79" t="n">
        <v>0.206</v>
      </c>
      <c r="K46" s="79" t="n">
        <v>0.334</v>
      </c>
      <c r="L46" s="79" t="n">
        <v>0.219</v>
      </c>
      <c r="M46" s="80" t="n">
        <v>0.05977</v>
      </c>
      <c r="N46" s="80" t="n">
        <v>0.09787</v>
      </c>
      <c r="O46" s="81" t="n">
        <v>1394</v>
      </c>
      <c r="P46" s="81" t="n">
        <v>50685</v>
      </c>
      <c r="R46" s="81" t="n">
        <v>10657</v>
      </c>
      <c r="S46" s="76" t="n">
        <v>1.184</v>
      </c>
      <c r="T46" s="77" t="n">
        <v>0.231</v>
      </c>
      <c r="U46" s="78" t="n">
        <v>0</v>
      </c>
      <c r="V46" s="81" t="n">
        <v>1416</v>
      </c>
    </row>
    <row r="47" customFormat="false" ht="15" hidden="false" customHeight="false" outlineLevel="0" collapsed="false">
      <c r="A47" s="60"/>
      <c r="B47" s="75"/>
      <c r="C47" s="76"/>
      <c r="D47" s="77"/>
      <c r="E47" s="78"/>
      <c r="F47" s="79"/>
      <c r="G47" s="79"/>
      <c r="H47" s="79"/>
      <c r="I47" s="79"/>
      <c r="J47" s="79"/>
      <c r="K47" s="79"/>
      <c r="L47" s="79"/>
      <c r="M47" s="80"/>
      <c r="N47" s="80"/>
      <c r="O47" s="81"/>
      <c r="P47" s="81"/>
      <c r="Q47" s="82"/>
      <c r="R47" s="81"/>
      <c r="S47" s="76"/>
      <c r="T47" s="77"/>
      <c r="U47" s="78"/>
      <c r="V47" s="81"/>
    </row>
    <row r="48" customFormat="false" ht="15" hidden="false" customHeight="false" outlineLevel="0" collapsed="false">
      <c r="A48" s="6" t="s">
        <v>1661</v>
      </c>
      <c r="B48" s="75" t="n">
        <v>97562</v>
      </c>
      <c r="C48" s="76" t="n">
        <v>2.162</v>
      </c>
      <c r="D48" s="77" t="n">
        <v>0.799</v>
      </c>
      <c r="E48" s="78" t="n">
        <v>0</v>
      </c>
      <c r="F48" s="79" t="n">
        <v>0.161</v>
      </c>
      <c r="G48" s="79" t="n">
        <v>0</v>
      </c>
      <c r="H48" s="79" t="n">
        <v>0.744</v>
      </c>
      <c r="I48" s="79" t="n">
        <v>0.169</v>
      </c>
      <c r="J48" s="79" t="n">
        <v>0.109</v>
      </c>
      <c r="K48" s="79" t="n">
        <v>0.081</v>
      </c>
      <c r="L48" s="79" t="n">
        <v>0.049</v>
      </c>
      <c r="M48" s="80" t="n">
        <v>0.01052</v>
      </c>
      <c r="N48" s="80" t="n">
        <v>0.00569</v>
      </c>
      <c r="O48" s="81" t="n">
        <v>438</v>
      </c>
      <c r="P48" s="81" t="n">
        <v>22262</v>
      </c>
      <c r="R48" s="81" t="n">
        <v>121607</v>
      </c>
      <c r="S48" s="76" t="n">
        <v>2.158</v>
      </c>
      <c r="T48" s="77" t="n">
        <v>0.809</v>
      </c>
      <c r="U48" s="78" t="n">
        <v>0</v>
      </c>
      <c r="V48" s="81" t="n">
        <v>439</v>
      </c>
    </row>
    <row r="49" customFormat="false" ht="15" hidden="false" customHeight="false" outlineLevel="0" collapsed="false">
      <c r="A49" s="6" t="s">
        <v>1662</v>
      </c>
      <c r="B49" s="75" t="n">
        <v>13404</v>
      </c>
      <c r="C49" s="76" t="n">
        <v>8.241</v>
      </c>
      <c r="D49" s="77" t="n">
        <v>1.873</v>
      </c>
      <c r="E49" s="78" t="n">
        <v>0</v>
      </c>
      <c r="F49" s="79" t="n">
        <v>2.022</v>
      </c>
      <c r="G49" s="79" t="n">
        <v>0</v>
      </c>
      <c r="H49" s="79" t="n">
        <v>2.03</v>
      </c>
      <c r="I49" s="79" t="n">
        <v>0.546</v>
      </c>
      <c r="J49" s="79" t="n">
        <v>0.251</v>
      </c>
      <c r="K49" s="79" t="n">
        <v>0.859</v>
      </c>
      <c r="L49" s="79" t="n">
        <v>0.044</v>
      </c>
      <c r="M49" s="80" t="n">
        <v>0.02145</v>
      </c>
      <c r="N49" s="80" t="n">
        <v>0.01973</v>
      </c>
      <c r="O49" s="81" t="n">
        <v>449</v>
      </c>
      <c r="P49" s="81" t="n">
        <v>21573</v>
      </c>
      <c r="R49" s="81" t="n">
        <v>22401</v>
      </c>
      <c r="S49" s="76" t="n">
        <v>8.242</v>
      </c>
      <c r="T49" s="77" t="n">
        <v>1.992</v>
      </c>
      <c r="U49" s="78" t="n">
        <v>0</v>
      </c>
      <c r="V49" s="81" t="n">
        <v>448</v>
      </c>
    </row>
    <row r="50" customFormat="false" ht="15" hidden="false" customHeight="false" outlineLevel="0" collapsed="false">
      <c r="A50" s="6" t="s">
        <v>1663</v>
      </c>
      <c r="B50" s="75" t="n">
        <v>21564</v>
      </c>
      <c r="C50" s="76" t="n">
        <v>0</v>
      </c>
      <c r="D50" s="77" t="n">
        <v>0</v>
      </c>
      <c r="E50" s="78" t="n">
        <v>0</v>
      </c>
      <c r="F50" s="79" t="n">
        <v>0</v>
      </c>
      <c r="G50" s="79" t="n">
        <v>0</v>
      </c>
      <c r="H50" s="79" t="n">
        <v>0</v>
      </c>
      <c r="I50" s="79" t="n">
        <v>0.139</v>
      </c>
      <c r="J50" s="79" t="n">
        <v>0.706</v>
      </c>
      <c r="K50" s="79" t="n">
        <v>0.087</v>
      </c>
      <c r="L50" s="79" t="n">
        <v>0.038</v>
      </c>
      <c r="M50" s="80" t="n">
        <v>0.00746</v>
      </c>
      <c r="N50" s="80" t="n">
        <v>0.00218</v>
      </c>
      <c r="O50" s="81" t="n">
        <v>0</v>
      </c>
      <c r="P50" s="81" t="n">
        <v>0</v>
      </c>
      <c r="R50" s="81" t="n">
        <v>27425</v>
      </c>
      <c r="S50" s="76" t="n">
        <v>0</v>
      </c>
      <c r="T50" s="77" t="n">
        <v>0</v>
      </c>
      <c r="U50" s="78" t="n">
        <v>0</v>
      </c>
      <c r="V50" s="81" t="n">
        <v>0</v>
      </c>
    </row>
    <row r="51" customFormat="false" ht="15" hidden="false" customHeight="false" outlineLevel="0" collapsed="false">
      <c r="A51" s="6" t="s">
        <v>1664</v>
      </c>
      <c r="B51" s="75" t="n">
        <v>13269</v>
      </c>
      <c r="C51" s="76" t="n">
        <v>10.019</v>
      </c>
      <c r="D51" s="77" t="n">
        <v>2.332</v>
      </c>
      <c r="E51" s="78" t="n">
        <v>0</v>
      </c>
      <c r="F51" s="79" t="n">
        <v>6.007</v>
      </c>
      <c r="G51" s="79" t="n">
        <v>0</v>
      </c>
      <c r="H51" s="79" t="n">
        <v>4.938</v>
      </c>
      <c r="I51" s="79" t="n">
        <v>0.259</v>
      </c>
      <c r="J51" s="79" t="n">
        <v>0.143</v>
      </c>
      <c r="K51" s="79" t="n">
        <v>0.747</v>
      </c>
      <c r="L51" s="79" t="n">
        <v>0.03</v>
      </c>
      <c r="M51" s="80" t="n">
        <v>0.02419</v>
      </c>
      <c r="N51" s="80" t="n">
        <v>0.03204</v>
      </c>
      <c r="O51" s="81" t="n">
        <v>172</v>
      </c>
      <c r="P51" s="81" t="n">
        <v>5486</v>
      </c>
      <c r="R51" s="81" t="n">
        <v>13585</v>
      </c>
      <c r="S51" s="76" t="n">
        <v>9.89</v>
      </c>
      <c r="T51" s="77" t="n">
        <v>4.803</v>
      </c>
      <c r="U51" s="78" t="n">
        <v>0</v>
      </c>
      <c r="V51" s="81" t="n">
        <v>166</v>
      </c>
    </row>
    <row r="52" customFormat="false" ht="15" hidden="false" customHeight="false" outlineLevel="0" collapsed="false">
      <c r="A52" s="6" t="s">
        <v>1665</v>
      </c>
      <c r="B52" s="75" t="n">
        <v>10599</v>
      </c>
      <c r="C52" s="76" t="n">
        <v>6.858</v>
      </c>
      <c r="D52" s="77" t="n">
        <v>2.046</v>
      </c>
      <c r="E52" s="78" t="n">
        <v>0.024</v>
      </c>
      <c r="F52" s="79" t="n">
        <v>1.998</v>
      </c>
      <c r="G52" s="79" t="n">
        <v>2.403</v>
      </c>
      <c r="H52" s="79" t="n">
        <v>1.223</v>
      </c>
      <c r="I52" s="79" t="n">
        <v>0.356</v>
      </c>
      <c r="J52" s="79" t="n">
        <v>0.312</v>
      </c>
      <c r="K52" s="79" t="n">
        <v>0.257</v>
      </c>
      <c r="L52" s="79" t="n">
        <v>0.184</v>
      </c>
      <c r="M52" s="80" t="n">
        <v>0.07424</v>
      </c>
      <c r="N52" s="80" t="n">
        <v>0.03744</v>
      </c>
      <c r="O52" s="81" t="n">
        <v>764</v>
      </c>
      <c r="P52" s="81" t="n">
        <v>25654</v>
      </c>
      <c r="R52" s="81" t="n">
        <v>21053</v>
      </c>
      <c r="S52" s="76" t="n">
        <v>7.09</v>
      </c>
      <c r="T52" s="77" t="n">
        <v>2.107</v>
      </c>
      <c r="U52" s="78" t="n">
        <v>0.018</v>
      </c>
      <c r="V52" s="81" t="n">
        <v>794</v>
      </c>
    </row>
    <row r="53" customFormat="false" ht="15" hidden="false" customHeight="false" outlineLevel="0" collapsed="false">
      <c r="A53" s="6" t="s">
        <v>1666</v>
      </c>
      <c r="B53" s="75" t="n">
        <v>6618</v>
      </c>
      <c r="C53" s="76" t="n">
        <v>15.963</v>
      </c>
      <c r="D53" s="77" t="n">
        <v>3.713</v>
      </c>
      <c r="E53" s="78" t="n">
        <v>100.688</v>
      </c>
      <c r="F53" s="79" t="n">
        <v>9.569</v>
      </c>
      <c r="G53" s="79" t="n">
        <v>2.153</v>
      </c>
      <c r="H53" s="79" t="n">
        <v>29.044</v>
      </c>
      <c r="I53" s="79" t="n">
        <v>1.199</v>
      </c>
      <c r="J53" s="79" t="n">
        <v>0.38</v>
      </c>
      <c r="K53" s="79" t="n">
        <v>0.256</v>
      </c>
      <c r="L53" s="79" t="n">
        <v>0.172</v>
      </c>
      <c r="M53" s="80" t="n">
        <v>0.19809</v>
      </c>
      <c r="N53" s="80" t="n">
        <v>0.19116</v>
      </c>
      <c r="O53" s="81" t="n">
        <v>1211</v>
      </c>
      <c r="P53" s="81" t="n">
        <v>44810</v>
      </c>
      <c r="R53" s="81" t="n">
        <v>6633</v>
      </c>
      <c r="S53" s="76" t="n">
        <v>16.905</v>
      </c>
      <c r="T53" s="77" t="n">
        <v>3.868</v>
      </c>
      <c r="U53" s="78" t="n">
        <v>104.526</v>
      </c>
      <c r="V53" s="81" t="n">
        <v>1307</v>
      </c>
    </row>
    <row r="54" customFormat="false" ht="15" hidden="false" customHeight="false" outlineLevel="0" collapsed="false">
      <c r="A54" s="6" t="s">
        <v>1667</v>
      </c>
      <c r="B54" s="75" t="n">
        <v>12066</v>
      </c>
      <c r="C54" s="76" t="n">
        <v>1.327</v>
      </c>
      <c r="D54" s="77" t="n">
        <v>0.402</v>
      </c>
      <c r="E54" s="78" t="n">
        <v>6.275</v>
      </c>
      <c r="F54" s="79" t="n">
        <v>0.495</v>
      </c>
      <c r="G54" s="79" t="n">
        <v>0.236</v>
      </c>
      <c r="H54" s="79" t="n">
        <v>1.458</v>
      </c>
      <c r="I54" s="79" t="n">
        <v>0.149</v>
      </c>
      <c r="J54" s="79" t="n">
        <v>0.09</v>
      </c>
      <c r="K54" s="79" t="n">
        <v>0.097</v>
      </c>
      <c r="L54" s="79" t="n">
        <v>0.256</v>
      </c>
      <c r="M54" s="80" t="n">
        <v>0.01766</v>
      </c>
      <c r="N54" s="80" t="n">
        <v>0.00934</v>
      </c>
      <c r="O54" s="81" t="n">
        <v>533</v>
      </c>
      <c r="P54" s="81" t="n">
        <v>16951</v>
      </c>
      <c r="R54" s="81" t="n">
        <v>12194</v>
      </c>
      <c r="S54" s="76" t="n">
        <v>1.318</v>
      </c>
      <c r="T54" s="77" t="n">
        <v>0.398</v>
      </c>
      <c r="U54" s="78" t="n">
        <v>6.382</v>
      </c>
      <c r="V54" s="81" t="n">
        <v>520</v>
      </c>
    </row>
    <row r="55" customFormat="false" ht="15" hidden="false" customHeight="false" outlineLevel="0" collapsed="false">
      <c r="A55" s="6"/>
      <c r="B55" s="75"/>
      <c r="C55" s="76"/>
      <c r="D55" s="77"/>
      <c r="E55" s="78"/>
      <c r="F55" s="79"/>
      <c r="G55" s="79"/>
      <c r="H55" s="79"/>
      <c r="I55" s="79"/>
      <c r="J55" s="79"/>
      <c r="K55" s="79"/>
      <c r="L55" s="79"/>
      <c r="M55" s="80"/>
      <c r="N55" s="80"/>
      <c r="O55" s="81"/>
      <c r="P55" s="81"/>
      <c r="R55" s="81"/>
      <c r="S55" s="76"/>
      <c r="T55" s="77"/>
      <c r="U55" s="78"/>
      <c r="V55" s="81"/>
    </row>
    <row r="56" customFormat="false" ht="15" hidden="false" customHeight="false" outlineLevel="0" collapsed="false">
      <c r="A56" s="6" t="s">
        <v>1668</v>
      </c>
      <c r="B56" s="75" t="n">
        <v>72347</v>
      </c>
      <c r="C56" s="76" t="n">
        <v>0</v>
      </c>
      <c r="D56" s="77" t="n">
        <v>0</v>
      </c>
      <c r="E56" s="78" t="n">
        <v>0</v>
      </c>
      <c r="F56" s="79" t="n">
        <v>0</v>
      </c>
      <c r="G56" s="79" t="n">
        <v>0</v>
      </c>
      <c r="H56" s="79" t="n">
        <v>2.443</v>
      </c>
      <c r="I56" s="79" t="n">
        <v>0.014</v>
      </c>
      <c r="J56" s="79" t="n">
        <v>0.138</v>
      </c>
      <c r="K56" s="79" t="n">
        <v>0.14</v>
      </c>
      <c r="L56" s="79" t="n">
        <v>0.092</v>
      </c>
      <c r="M56" s="80" t="n">
        <v>0.04108</v>
      </c>
      <c r="N56" s="80" t="n">
        <v>0.00504</v>
      </c>
      <c r="O56" s="81" t="n">
        <v>4</v>
      </c>
      <c r="P56" s="81" t="n">
        <v>4</v>
      </c>
      <c r="R56" s="81" t="n">
        <v>74183</v>
      </c>
      <c r="S56" s="76" t="n">
        <v>0</v>
      </c>
      <c r="T56" s="77" t="n">
        <v>0</v>
      </c>
      <c r="U56" s="78" t="n">
        <v>0</v>
      </c>
      <c r="V56" s="81" t="n">
        <v>4</v>
      </c>
    </row>
    <row r="57" customFormat="false" ht="15" hidden="false" customHeight="false" outlineLevel="0" collapsed="false">
      <c r="A57" s="6" t="s">
        <v>1669</v>
      </c>
      <c r="B57" s="75" t="n">
        <v>12385</v>
      </c>
      <c r="C57" s="76" t="n">
        <v>0</v>
      </c>
      <c r="D57" s="77" t="n">
        <v>0</v>
      </c>
      <c r="E57" s="78" t="n">
        <v>0</v>
      </c>
      <c r="F57" s="79" t="n">
        <v>0</v>
      </c>
      <c r="G57" s="79" t="n">
        <v>0</v>
      </c>
      <c r="H57" s="79" t="n">
        <v>0</v>
      </c>
      <c r="I57" s="79" t="n">
        <v>0</v>
      </c>
      <c r="J57" s="79" t="n">
        <v>0</v>
      </c>
      <c r="K57" s="79" t="n">
        <v>0</v>
      </c>
      <c r="L57" s="79" t="n">
        <v>0</v>
      </c>
      <c r="M57" s="80" t="n">
        <v>0</v>
      </c>
      <c r="N57" s="80" t="n">
        <v>0</v>
      </c>
      <c r="O57" s="81" t="n">
        <v>0</v>
      </c>
      <c r="P57" s="81" t="n">
        <v>0</v>
      </c>
      <c r="R57" s="81" t="n">
        <v>19793</v>
      </c>
      <c r="S57" s="77" t="n">
        <v>0</v>
      </c>
      <c r="T57" s="77" t="n">
        <v>0</v>
      </c>
      <c r="U57" s="78" t="n">
        <v>0</v>
      </c>
      <c r="V57" s="81" t="n">
        <v>0</v>
      </c>
    </row>
    <row r="58" customFormat="false" ht="15" hidden="false" customHeight="false" outlineLevel="0" collapsed="false">
      <c r="A58" s="60"/>
      <c r="B58" s="83"/>
      <c r="C58" s="60"/>
      <c r="D58" s="60"/>
      <c r="E58" s="83"/>
      <c r="F58" s="60"/>
      <c r="G58" s="60"/>
      <c r="H58" s="60"/>
      <c r="I58" s="60"/>
      <c r="J58" s="60"/>
      <c r="K58" s="60"/>
      <c r="L58" s="83"/>
      <c r="M58" s="84"/>
      <c r="N58" s="84"/>
      <c r="O58" s="84"/>
      <c r="P58" s="84"/>
      <c r="R58" s="84"/>
      <c r="S58" s="60"/>
      <c r="T58" s="60"/>
      <c r="U58" s="83"/>
      <c r="V58" s="85"/>
    </row>
    <row r="59" customFormat="false" ht="18" hidden="false" customHeight="true" outlineLevel="0" collapsed="false">
      <c r="A59" s="69" t="s">
        <v>1670</v>
      </c>
      <c r="B59" s="86"/>
      <c r="C59" s="87" t="n">
        <f aca="false">SUMPRODUCT($B4:$B57,C4:C57)/10000</f>
        <v>969.3923343</v>
      </c>
      <c r="D59" s="87" t="n">
        <f aca="false">SUMPRODUCT($B4:$B57,D4:D57)/10000</f>
        <v>273.4050504</v>
      </c>
      <c r="E59" s="88" t="n">
        <f aca="false">SUMPRODUCT($B4:$B57,E4:E57)/10000</f>
        <v>1533.651233</v>
      </c>
      <c r="F59" s="87" t="n">
        <f aca="false">SUMPRODUCT($B4:$B57,F4:F57)</f>
        <v>2379469.67</v>
      </c>
      <c r="G59" s="87" t="n">
        <f aca="false">SUMPRODUCT($B4:$B57,G4:G57)</f>
        <v>1098394.985</v>
      </c>
      <c r="H59" s="87" t="n">
        <f aca="false">SUMPRODUCT($B4:$B57,H4:H57)</f>
        <v>7463342.423</v>
      </c>
      <c r="I59" s="87" t="n">
        <f aca="false">SUMPRODUCT($B4:$B57,I4:I57)</f>
        <v>604297.515</v>
      </c>
      <c r="J59" s="87" t="n">
        <f aca="false">SUMPRODUCT($B4:$B57,J4:J57)</f>
        <v>801403.803</v>
      </c>
      <c r="K59" s="87" t="n">
        <f aca="false">SUMPRODUCT($B4:$B57,K4:K57)</f>
        <v>626870.68</v>
      </c>
      <c r="L59" s="88" t="n">
        <f aca="false">SUMPRODUCT($B4:$B57,L4:L57)</f>
        <v>394202.635</v>
      </c>
      <c r="M59" s="89" t="n">
        <f aca="false">SUMPRODUCT($B4:$B57,M4:M57)</f>
        <v>89031.95281</v>
      </c>
      <c r="N59" s="89" t="n">
        <f aca="false">SUMPRODUCT($B4:$B57,N4:N57)</f>
        <v>64645.12456</v>
      </c>
      <c r="O59" s="89" t="n">
        <f aca="false">SUMPRODUCT($B4:$B57,O4:O57)/1000000</f>
        <v>2239.236598</v>
      </c>
      <c r="P59" s="89" t="n">
        <f aca="false">SUMPRODUCT($B4:$B57,P4:P57)/1000000</f>
        <v>74308.99973</v>
      </c>
      <c r="R59" s="70"/>
      <c r="S59" s="87" t="n">
        <f aca="false">SUMPRODUCT($R4:$R57,S4:S57)/10000</f>
        <v>1095.9901673</v>
      </c>
      <c r="T59" s="87" t="n">
        <f aca="false">SUMPRODUCT($R4:$R57,T4:T57)/10000</f>
        <v>319.9526012</v>
      </c>
      <c r="U59" s="88" t="n">
        <f aca="false">SUMPRODUCT($R4:$R57,U4:U57)/10000</f>
        <v>1760.1838842</v>
      </c>
      <c r="V59" s="89"/>
    </row>
    <row r="60" customFormat="false" ht="15" hidden="false" customHeight="false" outlineLevel="0" collapsed="false">
      <c r="A60" s="60"/>
      <c r="B60" s="60"/>
      <c r="C60" s="60"/>
      <c r="D60" s="60"/>
      <c r="E60" s="60"/>
      <c r="F60" s="60"/>
      <c r="G60" s="60"/>
      <c r="H60" s="60"/>
      <c r="I60" s="60"/>
      <c r="J60" s="60"/>
      <c r="K60" s="60"/>
      <c r="L60" s="60"/>
      <c r="M60" s="60"/>
      <c r="N60" s="60"/>
      <c r="O60" s="60"/>
      <c r="P60" s="60"/>
      <c r="R60" s="60"/>
      <c r="S60" s="60"/>
      <c r="T60" s="60"/>
      <c r="U60" s="60"/>
    </row>
    <row r="61" customFormat="false" ht="18" hidden="false" customHeight="true" outlineLevel="0" collapsed="false">
      <c r="A61" s="60" t="s">
        <v>1671</v>
      </c>
      <c r="B61" s="60"/>
      <c r="C61" s="75"/>
      <c r="D61" s="60"/>
      <c r="E61" s="90" t="n">
        <f aca="false">U61*E59/U59</f>
        <v>1360.7538081288</v>
      </c>
      <c r="F61" s="60"/>
      <c r="G61" s="60"/>
      <c r="H61" s="60"/>
      <c r="I61" s="60"/>
      <c r="J61" s="60"/>
      <c r="K61" s="60"/>
      <c r="L61" s="60"/>
      <c r="M61" s="60"/>
      <c r="N61" s="60"/>
      <c r="O61" s="60"/>
      <c r="P61" s="60"/>
      <c r="R61" s="60"/>
      <c r="S61" s="75"/>
      <c r="T61" s="60"/>
      <c r="U61" s="90" t="n">
        <f aca="false">AVERAGE(3324035,3321977,3319784)/1000-U59</f>
        <v>1561.7481158</v>
      </c>
    </row>
    <row r="62" customFormat="false" ht="18" hidden="false" customHeight="false" outlineLevel="0" collapsed="false">
      <c r="A62" s="6" t="s">
        <v>1672</v>
      </c>
      <c r="B62" s="60"/>
      <c r="C62" s="60"/>
      <c r="D62" s="60"/>
      <c r="E62" s="60"/>
      <c r="F62" s="90" t="n">
        <v>294244</v>
      </c>
      <c r="G62" s="60"/>
      <c r="H62" s="60"/>
      <c r="I62" s="60"/>
      <c r="J62" s="60"/>
      <c r="K62" s="60"/>
      <c r="L62" s="60"/>
      <c r="N62" s="60"/>
      <c r="O62" s="60"/>
      <c r="P62" s="60"/>
      <c r="R62" s="60"/>
      <c r="S62" s="60"/>
      <c r="T62" s="60"/>
      <c r="U62" s="60"/>
    </row>
    <row r="63" customFormat="false" ht="18" hidden="false" customHeight="false" outlineLevel="0" collapsed="false">
      <c r="A63" s="6" t="s">
        <v>1673</v>
      </c>
      <c r="B63" s="60"/>
      <c r="C63" s="60"/>
      <c r="D63" s="60"/>
      <c r="E63" s="60"/>
      <c r="F63" s="90"/>
      <c r="G63" s="60"/>
      <c r="H63" s="60"/>
      <c r="I63" s="60"/>
      <c r="J63" s="60"/>
      <c r="K63" s="60"/>
      <c r="L63" s="60"/>
      <c r="M63" s="90" t="n">
        <v>3368</v>
      </c>
      <c r="N63" s="60" t="n">
        <v>643</v>
      </c>
      <c r="O63" s="60"/>
      <c r="P63" s="60"/>
      <c r="R63" s="60"/>
      <c r="S63" s="60"/>
      <c r="T63" s="60"/>
      <c r="U63" s="60"/>
    </row>
    <row r="64" customFormat="false" ht="15" hidden="false" customHeight="false" outlineLevel="0" collapsed="false">
      <c r="A64" s="60"/>
      <c r="B64" s="60"/>
      <c r="C64" s="60"/>
      <c r="D64" s="60"/>
      <c r="E64" s="60"/>
      <c r="F64" s="90"/>
      <c r="G64" s="60"/>
      <c r="H64" s="60"/>
      <c r="I64" s="60"/>
      <c r="J64" s="60"/>
      <c r="K64" s="60"/>
      <c r="L64" s="60"/>
      <c r="M64" s="60"/>
      <c r="N64" s="60"/>
      <c r="O64" s="60"/>
      <c r="P64" s="60"/>
      <c r="Q64" s="60"/>
      <c r="R64" s="60"/>
      <c r="S64" s="60"/>
      <c r="T64" s="60"/>
      <c r="U64" s="60"/>
      <c r="V64" s="60"/>
    </row>
    <row r="65" customFormat="false" ht="15" hidden="false" customHeight="false" outlineLevel="0" collapsed="false">
      <c r="A65" s="69" t="s">
        <v>1674</v>
      </c>
      <c r="B65" s="67"/>
      <c r="C65" s="87" t="n">
        <f aca="false">SUM(C59:E61)</f>
        <v>4137.2024258288</v>
      </c>
      <c r="D65" s="67"/>
      <c r="E65" s="67"/>
      <c r="F65" s="87" t="n">
        <f aca="false">SUM(F59:L62)</f>
        <v>13662225.711</v>
      </c>
      <c r="G65" s="67"/>
      <c r="H65" s="67"/>
      <c r="I65" s="67"/>
      <c r="J65" s="67"/>
      <c r="K65" s="67"/>
      <c r="L65" s="67"/>
      <c r="M65" s="87" t="n">
        <f aca="false">M59+M63</f>
        <v>92399.95281</v>
      </c>
      <c r="N65" s="87" t="n">
        <f aca="false">N59+N63</f>
        <v>65288.12456</v>
      </c>
      <c r="O65" s="67"/>
      <c r="P65" s="67"/>
      <c r="Q65" s="67"/>
      <c r="R65" s="67"/>
      <c r="S65" s="67"/>
      <c r="T65" s="67"/>
      <c r="U65" s="87" t="n">
        <f aca="false">SUM(S59:U61)</f>
        <v>4737.8747685</v>
      </c>
      <c r="V65" s="87" t="n">
        <f aca="false">SUMPRODUCT($R4:$R56,V4:V56)/1000000</f>
        <v>2427.134796</v>
      </c>
    </row>
    <row r="67" customFormat="false" ht="15" hidden="false" customHeight="true" outlineLevel="0" collapsed="false">
      <c r="A67" s="91" t="s">
        <v>1675</v>
      </c>
      <c r="B67" s="91"/>
      <c r="C67" s="91"/>
      <c r="D67" s="91"/>
    </row>
    <row r="68" customFormat="false" ht="15" hidden="false" customHeight="false" outlineLevel="0" collapsed="false">
      <c r="A68" s="91"/>
      <c r="B68" s="91"/>
      <c r="C68" s="91"/>
      <c r="D68" s="91"/>
      <c r="E68" s="92"/>
      <c r="F68" s="92"/>
      <c r="G68" s="92"/>
    </row>
  </sheetData>
  <mergeCells count="3">
    <mergeCell ref="R1:R3"/>
    <mergeCell ref="B2:B3"/>
    <mergeCell ref="A67:D68"/>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1" min="1" style="8" width="18.91"/>
  </cols>
  <sheetData>
    <row r="1" customFormat="false" ht="35" hidden="false" customHeight="false" outlineLevel="0" collapsed="false">
      <c r="A1" s="53" t="s">
        <v>1676</v>
      </c>
      <c r="B1" s="53" t="s">
        <v>1616</v>
      </c>
      <c r="C1" s="53" t="s">
        <v>1677</v>
      </c>
      <c r="D1" s="53" t="s">
        <v>1678</v>
      </c>
      <c r="E1" s="53" t="s">
        <v>1679</v>
      </c>
      <c r="F1" s="53" t="s">
        <v>1680</v>
      </c>
      <c r="G1" s="53" t="s">
        <v>340</v>
      </c>
    </row>
    <row r="2" customFormat="false" ht="13" hidden="false" customHeight="false" outlineLevel="0" collapsed="false">
      <c r="A2" s="8" t="s">
        <v>1681</v>
      </c>
      <c r="B2" s="93" t="n">
        <v>0.07</v>
      </c>
      <c r="C2" s="93" t="n">
        <v>0.85</v>
      </c>
      <c r="D2" s="58" t="s">
        <v>1682</v>
      </c>
      <c r="E2" s="93" t="n">
        <v>0</v>
      </c>
      <c r="F2" s="93" t="n">
        <v>0.08</v>
      </c>
      <c r="G2" s="93" t="n">
        <v>1</v>
      </c>
    </row>
    <row r="3" customFormat="false" ht="13" hidden="false" customHeight="false" outlineLevel="0" collapsed="false">
      <c r="A3" s="8" t="s">
        <v>1683</v>
      </c>
      <c r="B3" s="93" t="n">
        <v>0.07</v>
      </c>
      <c r="C3" s="93" t="n">
        <v>0.57</v>
      </c>
      <c r="D3" s="93" t="n">
        <v>0.04</v>
      </c>
      <c r="E3" s="93" t="n">
        <v>0</v>
      </c>
      <c r="F3" s="93" t="n">
        <v>0.32</v>
      </c>
      <c r="G3" s="93" t="n">
        <v>1</v>
      </c>
    </row>
    <row r="4" customFormat="false" ht="13" hidden="false" customHeight="false" outlineLevel="0" collapsed="false">
      <c r="A4" s="8" t="s">
        <v>1684</v>
      </c>
      <c r="B4" s="93" t="n">
        <v>0.03</v>
      </c>
      <c r="C4" s="93" t="n">
        <v>0.48</v>
      </c>
      <c r="D4" s="93" t="n">
        <v>0.03</v>
      </c>
      <c r="E4" s="93" t="n">
        <v>0</v>
      </c>
      <c r="F4" s="93" t="n">
        <v>0.46</v>
      </c>
      <c r="G4" s="93" t="n">
        <v>1</v>
      </c>
    </row>
    <row r="5" customFormat="false" ht="13" hidden="false" customHeight="false" outlineLevel="0" collapsed="false">
      <c r="A5" s="8" t="s">
        <v>1685</v>
      </c>
      <c r="B5" s="93" t="n">
        <v>0.06</v>
      </c>
      <c r="C5" s="93" t="n">
        <v>0.67</v>
      </c>
      <c r="D5" s="93" t="n">
        <v>0.03</v>
      </c>
      <c r="E5" s="93" t="n">
        <v>0</v>
      </c>
      <c r="F5" s="93" t="n">
        <v>0.24</v>
      </c>
      <c r="G5" s="93" t="n">
        <v>1</v>
      </c>
    </row>
    <row r="6" customFormat="false" ht="13" hidden="false" customHeight="false" outlineLevel="0" collapsed="false">
      <c r="A6" s="8" t="s">
        <v>1686</v>
      </c>
      <c r="B6" s="93" t="n">
        <v>0.13</v>
      </c>
      <c r="C6" s="93" t="n">
        <v>0</v>
      </c>
      <c r="D6" s="93" t="n">
        <v>0</v>
      </c>
      <c r="E6" s="93" t="n">
        <v>0.85</v>
      </c>
      <c r="F6" s="93" t="n">
        <v>0.02</v>
      </c>
      <c r="G6" s="93" t="n">
        <v>1</v>
      </c>
    </row>
    <row r="7" customFormat="false" ht="13" hidden="false" customHeight="false" outlineLevel="0" collapsed="false">
      <c r="A7" s="8" t="s">
        <v>1687</v>
      </c>
      <c r="B7" s="93" t="n">
        <v>0.13</v>
      </c>
      <c r="C7" s="93" t="n">
        <v>0</v>
      </c>
      <c r="D7" s="93" t="n">
        <v>0</v>
      </c>
      <c r="E7" s="93" t="n">
        <v>0.68</v>
      </c>
      <c r="F7" s="93" t="n">
        <v>0.19</v>
      </c>
      <c r="G7" s="93" t="n">
        <v>1</v>
      </c>
    </row>
    <row r="8" customFormat="false" ht="13" hidden="false" customHeight="false" outlineLevel="0" collapsed="false">
      <c r="A8" s="8" t="s">
        <v>1688</v>
      </c>
      <c r="B8" s="93" t="n">
        <v>0.16</v>
      </c>
      <c r="C8" s="93" t="n">
        <v>0.04</v>
      </c>
      <c r="D8" s="93" t="n">
        <v>0.59</v>
      </c>
      <c r="E8" s="93" t="n">
        <v>0</v>
      </c>
      <c r="F8" s="93" t="n">
        <v>0.21</v>
      </c>
      <c r="G8" s="93" t="n">
        <v>1</v>
      </c>
    </row>
    <row r="9" customFormat="false" ht="13" hidden="false" customHeight="false" outlineLevel="0" collapsed="false">
      <c r="A9" s="8" t="s">
        <v>1689</v>
      </c>
      <c r="B9" s="93" t="n">
        <v>0.71</v>
      </c>
      <c r="C9" s="93" t="n">
        <v>0.01</v>
      </c>
      <c r="D9" s="93" t="n">
        <v>0.02</v>
      </c>
      <c r="E9" s="93" t="n">
        <v>0</v>
      </c>
      <c r="F9" s="93" t="n">
        <v>0.26</v>
      </c>
      <c r="G9" s="93" t="n">
        <v>1</v>
      </c>
    </row>
    <row r="10" customFormat="false" ht="13" hidden="false" customHeight="false" outlineLevel="0" collapsed="false">
      <c r="A10" s="8" t="s">
        <v>1690</v>
      </c>
      <c r="B10" s="93" t="n">
        <v>0.34</v>
      </c>
      <c r="C10" s="93" t="n">
        <v>0.01</v>
      </c>
      <c r="D10" s="93" t="n">
        <v>0.07</v>
      </c>
      <c r="E10" s="93" t="n">
        <v>0</v>
      </c>
      <c r="F10" s="93" t="n">
        <v>0.58</v>
      </c>
      <c r="G10" s="93" t="n">
        <v>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13" activeCellId="0" sqref="D13"/>
    </sheetView>
  </sheetViews>
  <sheetFormatPr defaultColWidth="19.9140625" defaultRowHeight="12.8" zeroHeight="false" outlineLevelRow="0" outlineLevelCol="0"/>
  <sheetData>
    <row r="1" customFormat="false" ht="56.65" hidden="false" customHeight="false" outlineLevel="0" collapsed="false">
      <c r="A1" s="53" t="s">
        <v>1691</v>
      </c>
      <c r="B1" s="53" t="s">
        <v>1692</v>
      </c>
      <c r="C1" s="53" t="s">
        <v>1693</v>
      </c>
      <c r="D1" s="53" t="s">
        <v>1694</v>
      </c>
      <c r="E1" s="53" t="s">
        <v>1695</v>
      </c>
      <c r="F1" s="53" t="s">
        <v>1696</v>
      </c>
      <c r="G1" s="53" t="s">
        <v>340</v>
      </c>
    </row>
    <row r="2" customFormat="false" ht="13" hidden="false" customHeight="false" outlineLevel="0" collapsed="false">
      <c r="A2" s="8" t="s">
        <v>1697</v>
      </c>
      <c r="B2" s="93" t="n">
        <v>0.15</v>
      </c>
      <c r="C2" s="93" t="n">
        <v>0.1</v>
      </c>
      <c r="D2" s="93" t="n">
        <v>0.02</v>
      </c>
      <c r="E2" s="93" t="n">
        <v>0.71</v>
      </c>
      <c r="F2" s="93" t="n">
        <v>0.02</v>
      </c>
      <c r="G2" s="93" t="n">
        <v>1</v>
      </c>
    </row>
    <row r="3" customFormat="false" ht="13" hidden="false" customHeight="false" outlineLevel="0" collapsed="false">
      <c r="A3" s="8" t="s">
        <v>1698</v>
      </c>
      <c r="B3" s="93" t="n">
        <v>0.3</v>
      </c>
      <c r="C3" s="93" t="n">
        <v>0.25</v>
      </c>
      <c r="D3" s="93" t="n">
        <v>0.18</v>
      </c>
      <c r="E3" s="93" t="n">
        <v>0.19</v>
      </c>
      <c r="F3" s="93" t="n">
        <v>0.08</v>
      </c>
      <c r="G3" s="93" t="n">
        <v>1</v>
      </c>
    </row>
    <row r="4" customFormat="false" ht="13" hidden="false" customHeight="false" outlineLevel="0" collapsed="false">
      <c r="A4" s="8" t="s">
        <v>1699</v>
      </c>
      <c r="B4" s="93" t="n">
        <v>0.38</v>
      </c>
      <c r="C4" s="93" t="n">
        <v>0.28</v>
      </c>
      <c r="D4" s="93" t="n">
        <v>0.24</v>
      </c>
      <c r="E4" s="93" t="n">
        <v>0.04</v>
      </c>
      <c r="F4" s="93" t="n">
        <v>0.06</v>
      </c>
      <c r="G4" s="93" t="n">
        <v>1</v>
      </c>
    </row>
    <row r="5" customFormat="false" ht="13" hidden="false" customHeight="false" outlineLevel="0" collapsed="false">
      <c r="A5" s="8" t="s">
        <v>1700</v>
      </c>
      <c r="B5" s="93" t="n">
        <v>0.76</v>
      </c>
      <c r="C5" s="93" t="n">
        <v>0.12</v>
      </c>
      <c r="D5" s="93" t="n">
        <v>0.02</v>
      </c>
      <c r="E5" s="93" t="n">
        <v>0.02</v>
      </c>
      <c r="F5" s="93" t="n">
        <v>0.08</v>
      </c>
      <c r="G5" s="93" t="n">
        <v>1</v>
      </c>
    </row>
    <row r="6" customFormat="false" ht="13" hidden="false" customHeight="false" outlineLevel="0" collapsed="false">
      <c r="A6" s="8" t="s">
        <v>1701</v>
      </c>
      <c r="B6" s="93" t="n">
        <v>0.4</v>
      </c>
      <c r="C6" s="93" t="n">
        <v>0.35</v>
      </c>
      <c r="D6" s="93" t="n">
        <v>0.15</v>
      </c>
      <c r="E6" s="93" t="n">
        <v>0.01</v>
      </c>
      <c r="F6" s="93" t="n">
        <v>0.09</v>
      </c>
      <c r="G6" s="93" t="n">
        <v>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docProps/app.xml><?xml version="1.0" encoding="utf-8"?>
<Properties xmlns="http://schemas.openxmlformats.org/officeDocument/2006/extended-properties" xmlns:vt="http://schemas.openxmlformats.org/officeDocument/2006/docPropsVTypes">
  <Template/>
  <TotalTime>3422</TotalTime>
  <Application>LibreOffice/7.6.7.2$Windows_X86_64 LibreOffice_project/dd47e4b30cb7dab30588d6c79c651f218165e3c5</Application>
  <AppVersion>15.0000</AppVersion>
  <Company>RMIT University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2004-11-07T22:49:04Z</dcterms:created>
  <dc:creator>Stephen Clune</dc:creator>
  <dc:description/>
  <dc:language>en-US</dc:language>
  <cp:lastModifiedBy/>
  <cp:lastPrinted>2016-02-23T13:50:45Z</cp:lastPrinted>
  <dcterms:modified xsi:type="dcterms:W3CDTF">2026-04-24T11:29:27Z</dcterms:modified>
  <cp:revision>222</cp:revision>
  <dc:subject/>
  <dc:title/>
</cp:coreProperties>
</file>

<file path=docProps/custom.xml><?xml version="1.0" encoding="utf-8"?>
<Properties xmlns="http://schemas.openxmlformats.org/officeDocument/2006/custom-properties" xmlns:vt="http://schemas.openxmlformats.org/officeDocument/2006/docPropsVTypes"/>
</file>